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Card" sheetId="1" state="visible" r:id="rId1"/>
    <sheet name="Build Card $" sheetId="2" state="visible" r:id="rId2"/>
    <sheet name="Recipes" sheetId="3" state="visible" r:id="rId3"/>
    <sheet name="Ingredients" sheetId="4" state="visible" r:id="rId4"/>
    <sheet name="Method" sheetId="5" state="visible" r:id="rId5"/>
    <sheet name="Critical" sheetId="6" state="visible" r:id="rId6"/>
    <sheet name="Units" sheetId="7" state="hidden" r:id="rId7"/>
  </sheets>
  <definedNames>
    <definedName name="RecName">'Recipes'!$A$2:$A$201</definedName>
    <definedName name="RecDesc">'Recipes'!$B$2:$B$201</definedName>
    <definedName name="RecStation">'Recipes'!$C$2:$C$201</definedName>
    <definedName name="RecCategory">'Recipes'!$D$2:$D$201</definedName>
    <definedName name="RecYieldQty">'Recipes'!$E$2:$E$201</definedName>
    <definedName name="RecYieldUnit">'Recipes'!$F$2:$F$201</definedName>
    <definedName name="RecPrep">'Recipes'!$G$2:$G$201</definedName>
    <definedName name="RecShelf">'Recipes'!$H$2:$H$201</definedName>
    <definedName name="RecEquip">'Recipes'!$I$2:$I$201</definedName>
    <definedName name="RecStorage">'Recipes'!$J$2:$J$201</definedName>
    <definedName name="RecMenu">'Recipes'!$K$2:$K$201</definedName>
    <definedName name="RecNameList">'Recipes'!$A$2:$A$201</definedName>
    <definedName name="IngRecipe">'Ingredients'!$A$2:$A$201</definedName>
    <definedName name="IngQty">'Ingredients'!$B$2:$B$201</definedName>
    <definedName name="IngQtyText">'Ingredients'!$C$2:$C$201</definedName>
    <definedName name="IngUnit">'Ingredients'!$D$2:$D$201</definedName>
    <definedName name="IngName">'Ingredients'!$E$2:$E$201</definedName>
    <definedName name="IngPrep">'Ingredients'!$F$2:$F$201</definedName>
    <definedName name="IngKey">'Ingredients'!$J$2:$J$201</definedName>
    <definedName name="IngLineCost">'Ingredients'!$P$2:$P$201</definedName>
    <definedName name="StepTitle">'Method'!$B$2:$B$201</definedName>
    <definedName name="StepTime">'Method'!$C$2:$C$201</definedName>
    <definedName name="StepDesc">'Method'!$D$2:$D$201</definedName>
    <definedName name="StepKey">'Method'!$F$2:$F$201</definedName>
    <definedName name="CritText">'Critical'!$B$2:$B$201</definedName>
    <definedName name="CritKey">'Critical'!$D$2:$D$201</definedName>
    <definedName name="UnitsTable">'Units'!$A$2:$C$35</definedName>
    <definedName name="_xlnm.Print_Area" localSheetId="0">'Build Card'!$A$2:$H$46</definedName>
    <definedName name="_xlnm.Print_Area" localSheetId="1">'Build Card $'!$A$2:$H$51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7A7A7A"/>
      <sz val="8"/>
    </font>
    <font>
      <name val="Arial"/>
      <b val="1"/>
      <color rgb="00C0392B"/>
      <sz val="11"/>
    </font>
    <font>
      <name val="Arial"/>
      <b val="1"/>
      <color rgb="00C0392B"/>
      <sz val="9"/>
    </font>
    <font>
      <name val="Arial"/>
      <b val="1"/>
      <color rgb="00FFFFFF"/>
      <sz val="10"/>
    </font>
    <font>
      <name val="Arial"/>
      <b val="1"/>
      <color rgb="00111418"/>
      <sz val="30"/>
    </font>
    <font>
      <name val="Arial"/>
      <i val="1"/>
      <color rgb="00555555"/>
      <sz val="11"/>
    </font>
    <font>
      <name val="Arial"/>
      <b val="1"/>
      <color rgb="00111418"/>
      <sz val="13"/>
    </font>
    <font>
      <name val="Arial"/>
      <b val="1"/>
      <color rgb="00111418"/>
      <sz val="11"/>
    </font>
    <font>
      <name val="Arial"/>
      <b val="1"/>
      <color rgb="00111418"/>
      <sz val="10"/>
    </font>
    <font>
      <name val="Arial"/>
      <color rgb="002B2B2B"/>
      <sz val="10"/>
    </font>
    <font>
      <name val="Arial"/>
      <i val="1"/>
      <color rgb="007A7A7A"/>
      <sz val="9"/>
    </font>
    <font>
      <name val="Arial"/>
      <b val="1"/>
      <color rgb="00C0392B"/>
      <sz val="12"/>
    </font>
    <font>
      <name val="Arial"/>
      <b val="1"/>
      <color rgb="00111418"/>
      <sz val="10.5"/>
    </font>
    <font>
      <name val="Arial"/>
      <color rgb="00555555"/>
      <sz val="10"/>
    </font>
    <font>
      <name val="Arial"/>
      <b val="1"/>
      <color rgb="00C0392B"/>
      <sz val="10"/>
    </font>
    <font>
      <name val="Arial"/>
      <color rgb="007A7A7A"/>
      <sz val="8"/>
    </font>
    <font>
      <name val="Arial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11418"/>
      </patternFill>
    </fill>
    <fill>
      <patternFill patternType="solid">
        <fgColor rgb="00FFF6F5"/>
      </patternFill>
    </fill>
    <fill>
      <patternFill patternType="solid">
        <fgColor rgb="00FBEAE8"/>
      </patternFill>
    </fill>
  </fills>
  <borders count="7">
    <border>
      <left/>
      <right/>
      <top/>
      <bottom/>
      <diagonal/>
    </border>
    <border>
      <left/>
      <right/>
      <top/>
      <bottom style="medium">
        <color rgb="00111418"/>
      </bottom>
    </border>
    <border>
      <left/>
      <right/>
      <top/>
      <bottom style="thin">
        <color rgb="00D9D9D9"/>
      </bottom>
    </border>
    <border>
      <left/>
      <right/>
      <top/>
      <bottom style="thin">
        <color rgb="00ECECEC"/>
      </bottom>
    </border>
    <border>
      <left style="thick">
        <color rgb="00C0392B"/>
      </left>
      <right/>
      <top/>
      <bottom/>
    </border>
    <border>
      <left/>
      <right/>
      <top/>
      <bottom style="thin">
        <color rgb="00111418"/>
      </bottom>
    </border>
    <border>
      <left/>
      <right/>
      <top/>
      <bottom style="thin">
        <color rgb="00C0392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1" pivotButton="0" quotePrefix="0" xfId="0"/>
    <xf numFmtId="0" fontId="0" fillId="0" borderId="1" pivotButton="0" quotePrefix="0" xfId="0"/>
    <xf numFmtId="0" fontId="8" fillId="0" borderId="2" pivotButton="0" quotePrefix="0" xfId="0"/>
    <xf numFmtId="0" fontId="0" fillId="0" borderId="2" pivotButton="0" quotePrefix="0" xfId="0"/>
    <xf numFmtId="0" fontId="9" fillId="0" borderId="1" pivotButton="0" quotePrefix="0" xfId="0"/>
    <xf numFmtId="0" fontId="10" fillId="0" borderId="3" pivotButton="0" quotePrefix="0" xfId="0"/>
    <xf numFmtId="0" fontId="11" fillId="0" borderId="3" pivotButton="0" quotePrefix="0" xfId="0"/>
    <xf numFmtId="0" fontId="12" fillId="0" borderId="3" pivotButton="0" quotePrefix="0" xfId="0"/>
    <xf numFmtId="0" fontId="13" fillId="0" borderId="0" applyAlignment="1" pivotButton="0" quotePrefix="0" xfId="0">
      <alignment vertical="top"/>
    </xf>
    <xf numFmtId="0" fontId="14" fillId="0" borderId="0" pivotButton="0" quotePrefix="0" xfId="0"/>
    <xf numFmtId="0" fontId="0" fillId="0" borderId="3" pivotButton="0" quotePrefix="0" xfId="0"/>
    <xf numFmtId="0" fontId="15" fillId="0" borderId="3" applyAlignment="1" pivotButton="0" quotePrefix="0" xfId="0">
      <alignment vertical="top" wrapText="1"/>
    </xf>
    <xf numFmtId="0" fontId="16" fillId="4" borderId="4" pivotButton="0" quotePrefix="0" xfId="0"/>
    <xf numFmtId="0" fontId="0" fillId="4" borderId="0" pivotButton="0" quotePrefix="0" xfId="0"/>
    <xf numFmtId="0" fontId="11" fillId="4" borderId="4" applyAlignment="1" pivotButton="0" quotePrefix="0" xfId="0">
      <alignment vertical="center" wrapText="1"/>
    </xf>
    <xf numFmtId="0" fontId="10" fillId="0" borderId="5" pivotButton="0" quotePrefix="0" xfId="0"/>
    <xf numFmtId="0" fontId="0" fillId="0" borderId="5" pivotButton="0" quotePrefix="0" xfId="0"/>
    <xf numFmtId="0" fontId="15" fillId="0" borderId="0" applyAlignment="1" pivotButton="0" quotePrefix="0" xfId="0">
      <alignment vertical="top" wrapText="1"/>
    </xf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6" fillId="0" borderId="6" pivotButton="0" quotePrefix="0" xfId="0"/>
    <xf numFmtId="0" fontId="0" fillId="0" borderId="6" pivotButton="0" quotePrefix="0" xfId="0"/>
    <xf numFmtId="0" fontId="18" fillId="0" borderId="0" pivotButton="0" quotePrefix="0" xfId="0"/>
    <xf numFmtId="164" fontId="9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4F4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6" customWidth="1" min="3" max="3"/>
    <col width="18" customWidth="1" min="4" max="4"/>
    <col width="3" customWidth="1" min="5" max="5"/>
    <col width="5" customWidth="1" min="6" max="6"/>
    <col width="58" customWidth="1" min="7" max="7"/>
    <col width="2" customWidth="1" min="8" max="8"/>
    <col hidden="1" width="13" customWidth="1" min="10" max="10"/>
    <col hidden="1" width="13" customWidth="1" min="11" max="11"/>
    <col hidden="1" width="13" customWidth="1" min="12" max="12"/>
  </cols>
  <sheetData>
    <row r="1">
      <c r="B1" s="1" t="inlineStr">
        <is>
          <t>RECIPE</t>
        </is>
      </c>
      <c r="C1" s="2" t="inlineStr">
        <is>
          <t>House Potato Chips</t>
        </is>
      </c>
      <c r="E1" s="1" t="inlineStr">
        <is>
          <t>SCALE ×</t>
        </is>
      </c>
      <c r="F1" s="2" t="n">
        <v>1</v>
      </c>
      <c r="J1">
        <f>IFERROR(MATCH($C$1,RecName,0),"")</f>
        <v/>
      </c>
    </row>
    <row r="2" ht="22" customHeight="1">
      <c r="B2" s="3" t="inlineStr">
        <is>
          <t>FOXTOWN BREWING · KITCHEN BUILD CARD</t>
        </is>
      </c>
      <c r="F2" s="4">
        <f>IF($J$1="","",UPPER(INDEX(RecStation,$J$1))&amp;" STATION")</f>
        <v/>
      </c>
    </row>
    <row r="3">
      <c r="B3" s="5">
        <f>UPPER($C$1)</f>
        <v/>
      </c>
    </row>
    <row r="4"/>
    <row r="5" ht="22" customHeight="1">
      <c r="B5" s="6">
        <f>IFERROR(INDEX(RecDesc,$J$1),"")</f>
        <v/>
      </c>
      <c r="C5" s="7" t="n"/>
      <c r="D5" s="7" t="n"/>
      <c r="E5" s="7" t="n"/>
      <c r="F5" s="7" t="n"/>
      <c r="G5" s="7" t="n"/>
    </row>
    <row r="7" ht="14" customHeight="1">
      <c r="B7" s="1" t="inlineStr">
        <is>
          <t>YIELD</t>
        </is>
      </c>
      <c r="C7" s="1" t="inlineStr">
        <is>
          <t>PREP TIME</t>
        </is>
      </c>
      <c r="D7" s="1" t="inlineStr">
        <is>
          <t>SHELF LIFE</t>
        </is>
      </c>
      <c r="F7" s="1" t="inlineStr">
        <is>
          <t>EQUIPMENT</t>
        </is>
      </c>
    </row>
    <row r="8" ht="20" customHeight="1">
      <c r="B8" s="8">
        <f>IFERROR(IF(ROUND(INDEX(RecYieldQty,$J$1)*$F$1,3)=INT(ROUND(INDEX(RecYieldQty,$J$1)*$F$1,3)),TEXT(ROUND(INDEX(RecYieldQty,$J$1)*$F$1,3),"0"),TEXT(ROUND(INDEX(RecYieldQty,$J$1)*$F$1,3),"0.###"))&amp;" "&amp;INDEX(RecYieldUnit,$J$1),"")</f>
        <v/>
      </c>
      <c r="C8" s="8">
        <f>IFERROR(INDEX(RecPrep,$J$1),"")</f>
        <v/>
      </c>
      <c r="D8" s="8">
        <f>IFERROR(INDEX(RecShelf,$J$1),"")</f>
        <v/>
      </c>
      <c r="E8" s="9" t="n"/>
      <c r="F8" s="8">
        <f>IFERROR(INDEX(RecEquip,$J$1),"")</f>
        <v/>
      </c>
      <c r="G8" s="9" t="n"/>
    </row>
    <row r="10">
      <c r="B10" s="10" t="inlineStr">
        <is>
          <t>INGREDIENTS</t>
        </is>
      </c>
      <c r="C10" s="7" t="n"/>
      <c r="D10" s="7" t="n"/>
      <c r="F10" s="10" t="inlineStr">
        <is>
          <t>METHOD</t>
        </is>
      </c>
      <c r="G10" s="7" t="n"/>
    </row>
    <row r="11">
      <c r="B11" s="1" t="inlineStr">
        <is>
          <t>QTY</t>
        </is>
      </c>
      <c r="C11" s="1" t="inlineStr">
        <is>
          <t>INGREDIENT</t>
        </is>
      </c>
      <c r="D11" s="1" t="inlineStr">
        <is>
          <t>PREP</t>
        </is>
      </c>
    </row>
    <row r="12" ht="16" customHeight="1">
      <c r="B12" s="11">
        <f>IF($J$12="","",IF(INDEX(IngQtyText,$J$12)&lt;&gt;"",INDEX(IngQtyText,$J$12),IF(ROUND(INDEX(IngQty,$J$12)*$F$1,3)=INT(ROUND(INDEX(IngQty,$J$12)*$F$1,3)),TEXT(ROUND(INDEX(IngQty,$J$12)*$F$1,3),"0"),TEXT(ROUND(INDEX(IngQty,$J$12)*$F$1,3),"0.###"))&amp;" "&amp;INDEX(IngUnit,$J$12)))</f>
        <v/>
      </c>
      <c r="C12" s="12">
        <f>IF($J$12="","",INDEX(IngName,$J$12))</f>
        <v/>
      </c>
      <c r="D12" s="13">
        <f>IF($J$12="","",INDEX(IngPrep,$J$12))</f>
        <v/>
      </c>
      <c r="F12" s="14">
        <f>IF($K$12="","",TEXT(1,"00"))</f>
        <v/>
      </c>
      <c r="G12" s="15">
        <f>IF($K$12="","",INDEX(StepTitle,$K$12)&amp;IF(INDEX(StepTime,$K$12)&lt;&gt;""," ("&amp;INDEX(StepTime,$K$12)&amp;")",""))</f>
        <v/>
      </c>
      <c r="J12">
        <f>IFERROR(MATCH($C$1&amp;"|"&amp;1,IngKey,0),"")</f>
        <v/>
      </c>
      <c r="K12">
        <f>IFERROR(MATCH($C$1&amp;"|"&amp;1,StepKey,0),"")</f>
        <v/>
      </c>
    </row>
    <row r="13" ht="26" customHeight="1">
      <c r="B13" s="11">
        <f>IF($J$13="","",IF(INDEX(IngQtyText,$J$13)&lt;&gt;"",INDEX(IngQtyText,$J$13),IF(ROUND(INDEX(IngQty,$J$13)*$F$1,3)=INT(ROUND(INDEX(IngQty,$J$13)*$F$1,3)),TEXT(ROUND(INDEX(IngQty,$J$13)*$F$1,3),"0"),TEXT(ROUND(INDEX(IngQty,$J$13)*$F$1,3),"0.###"))&amp;" "&amp;INDEX(IngUnit,$J$13)))</f>
        <v/>
      </c>
      <c r="C13" s="12">
        <f>IF($J$13="","",INDEX(IngName,$J$13))</f>
        <v/>
      </c>
      <c r="D13" s="13">
        <f>IF($J$13="","",INDEX(IngPrep,$J$13))</f>
        <v/>
      </c>
      <c r="F13" s="16" t="n"/>
      <c r="G13" s="17">
        <f>IF($K$12="","",INDEX(StepDesc,$K$12))</f>
        <v/>
      </c>
      <c r="J13">
        <f>IFERROR(MATCH($C$1&amp;"|"&amp;2,IngKey,0),"")</f>
        <v/>
      </c>
    </row>
    <row r="14" ht="16" customHeight="1">
      <c r="B14" s="11">
        <f>IF($J$14="","",IF(INDEX(IngQtyText,$J$14)&lt;&gt;"",INDEX(IngQtyText,$J$14),IF(ROUND(INDEX(IngQty,$J$14)*$F$1,3)=INT(ROUND(INDEX(IngQty,$J$14)*$F$1,3)),TEXT(ROUND(INDEX(IngQty,$J$14)*$F$1,3),"0"),TEXT(ROUND(INDEX(IngQty,$J$14)*$F$1,3),"0.###"))&amp;" "&amp;INDEX(IngUnit,$J$14)))</f>
        <v/>
      </c>
      <c r="C14" s="12">
        <f>IF($J$14="","",INDEX(IngName,$J$14))</f>
        <v/>
      </c>
      <c r="D14" s="13">
        <f>IF($J$14="","",INDEX(IngPrep,$J$14))</f>
        <v/>
      </c>
      <c r="F14" s="14">
        <f>IF($K$14="","",TEXT(2,"00"))</f>
        <v/>
      </c>
      <c r="G14" s="15">
        <f>IF($K$14="","",INDEX(StepTitle,$K$14)&amp;IF(INDEX(StepTime,$K$14)&lt;&gt;""," ("&amp;INDEX(StepTime,$K$14)&amp;")",""))</f>
        <v/>
      </c>
      <c r="J14">
        <f>IFERROR(MATCH($C$1&amp;"|"&amp;3,IngKey,0),"")</f>
        <v/>
      </c>
      <c r="K14">
        <f>IFERROR(MATCH($C$1&amp;"|"&amp;2,StepKey,0),"")</f>
        <v/>
      </c>
    </row>
    <row r="15" ht="26" customHeight="1">
      <c r="B15" s="11">
        <f>IF($J$15="","",IF(INDEX(IngQtyText,$J$15)&lt;&gt;"",INDEX(IngQtyText,$J$15),IF(ROUND(INDEX(IngQty,$J$15)*$F$1,3)=INT(ROUND(INDEX(IngQty,$J$15)*$F$1,3)),TEXT(ROUND(INDEX(IngQty,$J$15)*$F$1,3),"0"),TEXT(ROUND(INDEX(IngQty,$J$15)*$F$1,3),"0.###"))&amp;" "&amp;INDEX(IngUnit,$J$15)))</f>
        <v/>
      </c>
      <c r="C15" s="12">
        <f>IF($J$15="","",INDEX(IngName,$J$15))</f>
        <v/>
      </c>
      <c r="D15" s="13">
        <f>IF($J$15="","",INDEX(IngPrep,$J$15))</f>
        <v/>
      </c>
      <c r="F15" s="16" t="n"/>
      <c r="G15" s="17">
        <f>IF($K$14="","",INDEX(StepDesc,$K$14))</f>
        <v/>
      </c>
      <c r="J15">
        <f>IFERROR(MATCH($C$1&amp;"|"&amp;4,IngKey,0),"")</f>
        <v/>
      </c>
    </row>
    <row r="16" ht="16" customHeight="1">
      <c r="B16" s="11">
        <f>IF($J$16="","",IF(INDEX(IngQtyText,$J$16)&lt;&gt;"",INDEX(IngQtyText,$J$16),IF(ROUND(INDEX(IngQty,$J$16)*$F$1,3)=INT(ROUND(INDEX(IngQty,$J$16)*$F$1,3)),TEXT(ROUND(INDEX(IngQty,$J$16)*$F$1,3),"0"),TEXT(ROUND(INDEX(IngQty,$J$16)*$F$1,3),"0.###"))&amp;" "&amp;INDEX(IngUnit,$J$16)))</f>
        <v/>
      </c>
      <c r="C16" s="12">
        <f>IF($J$16="","",INDEX(IngName,$J$16))</f>
        <v/>
      </c>
      <c r="D16" s="13">
        <f>IF($J$16="","",INDEX(IngPrep,$J$16))</f>
        <v/>
      </c>
      <c r="F16" s="14">
        <f>IF($K$16="","",TEXT(3,"00"))</f>
        <v/>
      </c>
      <c r="G16" s="15">
        <f>IF($K$16="","",INDEX(StepTitle,$K$16)&amp;IF(INDEX(StepTime,$K$16)&lt;&gt;""," ("&amp;INDEX(StepTime,$K$16)&amp;")",""))</f>
        <v/>
      </c>
      <c r="J16">
        <f>IFERROR(MATCH($C$1&amp;"|"&amp;5,IngKey,0),"")</f>
        <v/>
      </c>
      <c r="K16">
        <f>IFERROR(MATCH($C$1&amp;"|"&amp;3,StepKey,0),"")</f>
        <v/>
      </c>
    </row>
    <row r="17" ht="26" customHeight="1">
      <c r="B17" s="11">
        <f>IF($J$17="","",IF(INDEX(IngQtyText,$J$17)&lt;&gt;"",INDEX(IngQtyText,$J$17),IF(ROUND(INDEX(IngQty,$J$17)*$F$1,3)=INT(ROUND(INDEX(IngQty,$J$17)*$F$1,3)),TEXT(ROUND(INDEX(IngQty,$J$17)*$F$1,3),"0"),TEXT(ROUND(INDEX(IngQty,$J$17)*$F$1,3),"0.###"))&amp;" "&amp;INDEX(IngUnit,$J$17)))</f>
        <v/>
      </c>
      <c r="C17" s="12">
        <f>IF($J$17="","",INDEX(IngName,$J$17))</f>
        <v/>
      </c>
      <c r="D17" s="13">
        <f>IF($J$17="","",INDEX(IngPrep,$J$17))</f>
        <v/>
      </c>
      <c r="F17" s="16" t="n"/>
      <c r="G17" s="17">
        <f>IF($K$16="","",INDEX(StepDesc,$K$16))</f>
        <v/>
      </c>
      <c r="J17">
        <f>IFERROR(MATCH($C$1&amp;"|"&amp;6,IngKey,0),"")</f>
        <v/>
      </c>
    </row>
    <row r="18" ht="16" customHeight="1">
      <c r="B18" s="11">
        <f>IF($J$18="","",IF(INDEX(IngQtyText,$J$18)&lt;&gt;"",INDEX(IngQtyText,$J$18),IF(ROUND(INDEX(IngQty,$J$18)*$F$1,3)=INT(ROUND(INDEX(IngQty,$J$18)*$F$1,3)),TEXT(ROUND(INDEX(IngQty,$J$18)*$F$1,3),"0"),TEXT(ROUND(INDEX(IngQty,$J$18)*$F$1,3),"0.###"))&amp;" "&amp;INDEX(IngUnit,$J$18)))</f>
        <v/>
      </c>
      <c r="C18" s="12">
        <f>IF($J$18="","",INDEX(IngName,$J$18))</f>
        <v/>
      </c>
      <c r="D18" s="13">
        <f>IF($J$18="","",INDEX(IngPrep,$J$18))</f>
        <v/>
      </c>
      <c r="F18" s="14">
        <f>IF($K$18="","",TEXT(4,"00"))</f>
        <v/>
      </c>
      <c r="G18" s="15">
        <f>IF($K$18="","",INDEX(StepTitle,$K$18)&amp;IF(INDEX(StepTime,$K$18)&lt;&gt;""," ("&amp;INDEX(StepTime,$K$18)&amp;")",""))</f>
        <v/>
      </c>
      <c r="J18">
        <f>IFERROR(MATCH($C$1&amp;"|"&amp;7,IngKey,0),"")</f>
        <v/>
      </c>
      <c r="K18">
        <f>IFERROR(MATCH($C$1&amp;"|"&amp;4,StepKey,0),"")</f>
        <v/>
      </c>
    </row>
    <row r="19" ht="26" customHeight="1">
      <c r="B19" s="11">
        <f>IF($J$19="","",IF(INDEX(IngQtyText,$J$19)&lt;&gt;"",INDEX(IngQtyText,$J$19),IF(ROUND(INDEX(IngQty,$J$19)*$F$1,3)=INT(ROUND(INDEX(IngQty,$J$19)*$F$1,3)),TEXT(ROUND(INDEX(IngQty,$J$19)*$F$1,3),"0"),TEXT(ROUND(INDEX(IngQty,$J$19)*$F$1,3),"0.###"))&amp;" "&amp;INDEX(IngUnit,$J$19)))</f>
        <v/>
      </c>
      <c r="C19" s="12">
        <f>IF($J$19="","",INDEX(IngName,$J$19))</f>
        <v/>
      </c>
      <c r="D19" s="13">
        <f>IF($J$19="","",INDEX(IngPrep,$J$19))</f>
        <v/>
      </c>
      <c r="F19" s="16" t="n"/>
      <c r="G19" s="17">
        <f>IF($K$18="","",INDEX(StepDesc,$K$18))</f>
        <v/>
      </c>
      <c r="J19">
        <f>IFERROR(MATCH($C$1&amp;"|"&amp;8,IngKey,0),"")</f>
        <v/>
      </c>
    </row>
    <row r="20" ht="16" customHeight="1">
      <c r="B20" s="11">
        <f>IF($J$20="","",IF(INDEX(IngQtyText,$J$20)&lt;&gt;"",INDEX(IngQtyText,$J$20),IF(ROUND(INDEX(IngQty,$J$20)*$F$1,3)=INT(ROUND(INDEX(IngQty,$J$20)*$F$1,3)),TEXT(ROUND(INDEX(IngQty,$J$20)*$F$1,3),"0"),TEXT(ROUND(INDEX(IngQty,$J$20)*$F$1,3),"0.###"))&amp;" "&amp;INDEX(IngUnit,$J$20)))</f>
        <v/>
      </c>
      <c r="C20" s="12">
        <f>IF($J$20="","",INDEX(IngName,$J$20))</f>
        <v/>
      </c>
      <c r="D20" s="13">
        <f>IF($J$20="","",INDEX(IngPrep,$J$20))</f>
        <v/>
      </c>
      <c r="F20" s="14">
        <f>IF($K$20="","",TEXT(5,"00"))</f>
        <v/>
      </c>
      <c r="G20" s="15">
        <f>IF($K$20="","",INDEX(StepTitle,$K$20)&amp;IF(INDEX(StepTime,$K$20)&lt;&gt;""," ("&amp;INDEX(StepTime,$K$20)&amp;")",""))</f>
        <v/>
      </c>
      <c r="J20">
        <f>IFERROR(MATCH($C$1&amp;"|"&amp;9,IngKey,0),"")</f>
        <v/>
      </c>
      <c r="K20">
        <f>IFERROR(MATCH($C$1&amp;"|"&amp;5,StepKey,0),"")</f>
        <v/>
      </c>
    </row>
    <row r="21" ht="26" customHeight="1">
      <c r="B21" s="11">
        <f>IF($J$21="","",IF(INDEX(IngQtyText,$J$21)&lt;&gt;"",INDEX(IngQtyText,$J$21),IF(ROUND(INDEX(IngQty,$J$21)*$F$1,3)=INT(ROUND(INDEX(IngQty,$J$21)*$F$1,3)),TEXT(ROUND(INDEX(IngQty,$J$21)*$F$1,3),"0"),TEXT(ROUND(INDEX(IngQty,$J$21)*$F$1,3),"0.###"))&amp;" "&amp;INDEX(IngUnit,$J$21)))</f>
        <v/>
      </c>
      <c r="C21" s="12">
        <f>IF($J$21="","",INDEX(IngName,$J$21))</f>
        <v/>
      </c>
      <c r="D21" s="13">
        <f>IF($J$21="","",INDEX(IngPrep,$J$21))</f>
        <v/>
      </c>
      <c r="F21" s="16" t="n"/>
      <c r="G21" s="17">
        <f>IF($K$20="","",INDEX(StepDesc,$K$20))</f>
        <v/>
      </c>
      <c r="J21">
        <f>IFERROR(MATCH($C$1&amp;"|"&amp;10,IngKey,0),"")</f>
        <v/>
      </c>
    </row>
    <row r="22" ht="16" customHeight="1">
      <c r="B22" s="11">
        <f>IF($J$22="","",IF(INDEX(IngQtyText,$J$22)&lt;&gt;"",INDEX(IngQtyText,$J$22),IF(ROUND(INDEX(IngQty,$J$22)*$F$1,3)=INT(ROUND(INDEX(IngQty,$J$22)*$F$1,3)),TEXT(ROUND(INDEX(IngQty,$J$22)*$F$1,3),"0"),TEXT(ROUND(INDEX(IngQty,$J$22)*$F$1,3),"0.###"))&amp;" "&amp;INDEX(IngUnit,$J$22)))</f>
        <v/>
      </c>
      <c r="C22" s="12">
        <f>IF($J$22="","",INDEX(IngName,$J$22))</f>
        <v/>
      </c>
      <c r="D22" s="13">
        <f>IF($J$22="","",INDEX(IngPrep,$J$22))</f>
        <v/>
      </c>
      <c r="F22" s="14">
        <f>IF($K$22="","",TEXT(6,"00"))</f>
        <v/>
      </c>
      <c r="G22" s="15">
        <f>IF($K$22="","",INDEX(StepTitle,$K$22)&amp;IF(INDEX(StepTime,$K$22)&lt;&gt;""," ("&amp;INDEX(StepTime,$K$22)&amp;")",""))</f>
        <v/>
      </c>
      <c r="J22">
        <f>IFERROR(MATCH($C$1&amp;"|"&amp;11,IngKey,0),"")</f>
        <v/>
      </c>
      <c r="K22">
        <f>IFERROR(MATCH($C$1&amp;"|"&amp;6,StepKey,0),"")</f>
        <v/>
      </c>
    </row>
    <row r="23" ht="26" customHeight="1">
      <c r="B23" s="11">
        <f>IF($J$23="","",IF(INDEX(IngQtyText,$J$23)&lt;&gt;"",INDEX(IngQtyText,$J$23),IF(ROUND(INDEX(IngQty,$J$23)*$F$1,3)=INT(ROUND(INDEX(IngQty,$J$23)*$F$1,3)),TEXT(ROUND(INDEX(IngQty,$J$23)*$F$1,3),"0"),TEXT(ROUND(INDEX(IngQty,$J$23)*$F$1,3),"0.###"))&amp;" "&amp;INDEX(IngUnit,$J$23)))</f>
        <v/>
      </c>
      <c r="C23" s="12">
        <f>IF($J$23="","",INDEX(IngName,$J$23))</f>
        <v/>
      </c>
      <c r="D23" s="13">
        <f>IF($J$23="","",INDEX(IngPrep,$J$23))</f>
        <v/>
      </c>
      <c r="F23" s="16" t="n"/>
      <c r="G23" s="17">
        <f>IF($K$22="","",INDEX(StepDesc,$K$22))</f>
        <v/>
      </c>
      <c r="J23">
        <f>IFERROR(MATCH($C$1&amp;"|"&amp;12,IngKey,0),"")</f>
        <v/>
      </c>
    </row>
    <row r="24" ht="16" customHeight="1">
      <c r="B24" s="11">
        <f>IF($J$24="","",IF(INDEX(IngQtyText,$J$24)&lt;&gt;"",INDEX(IngQtyText,$J$24),IF(ROUND(INDEX(IngQty,$J$24)*$F$1,3)=INT(ROUND(INDEX(IngQty,$J$24)*$F$1,3)),TEXT(ROUND(INDEX(IngQty,$J$24)*$F$1,3),"0"),TEXT(ROUND(INDEX(IngQty,$J$24)*$F$1,3),"0.###"))&amp;" "&amp;INDEX(IngUnit,$J$24)))</f>
        <v/>
      </c>
      <c r="C24" s="12">
        <f>IF($J$24="","",INDEX(IngName,$J$24))</f>
        <v/>
      </c>
      <c r="D24" s="13">
        <f>IF($J$24="","",INDEX(IngPrep,$J$24))</f>
        <v/>
      </c>
      <c r="F24" s="14">
        <f>IF($K$24="","",TEXT(7,"00"))</f>
        <v/>
      </c>
      <c r="G24" s="15">
        <f>IF($K$24="","",INDEX(StepTitle,$K$24)&amp;IF(INDEX(StepTime,$K$24)&lt;&gt;""," ("&amp;INDEX(StepTime,$K$24)&amp;")",""))</f>
        <v/>
      </c>
      <c r="J24">
        <f>IFERROR(MATCH($C$1&amp;"|"&amp;13,IngKey,0),"")</f>
        <v/>
      </c>
      <c r="K24">
        <f>IFERROR(MATCH($C$1&amp;"|"&amp;7,StepKey,0),"")</f>
        <v/>
      </c>
    </row>
    <row r="25" ht="26" customHeight="1">
      <c r="B25" s="11">
        <f>IF($J$25="","",IF(INDEX(IngQtyText,$J$25)&lt;&gt;"",INDEX(IngQtyText,$J$25),IF(ROUND(INDEX(IngQty,$J$25)*$F$1,3)=INT(ROUND(INDEX(IngQty,$J$25)*$F$1,3)),TEXT(ROUND(INDEX(IngQty,$J$25)*$F$1,3),"0"),TEXT(ROUND(INDEX(IngQty,$J$25)*$F$1,3),"0.###"))&amp;" "&amp;INDEX(IngUnit,$J$25)))</f>
        <v/>
      </c>
      <c r="C25" s="12">
        <f>IF($J$25="","",INDEX(IngName,$J$25))</f>
        <v/>
      </c>
      <c r="D25" s="13">
        <f>IF($J$25="","",INDEX(IngPrep,$J$25))</f>
        <v/>
      </c>
      <c r="F25" s="16" t="n"/>
      <c r="G25" s="17">
        <f>IF($K$24="","",INDEX(StepDesc,$K$24))</f>
        <v/>
      </c>
      <c r="J25">
        <f>IFERROR(MATCH($C$1&amp;"|"&amp;14,IngKey,0),"")</f>
        <v/>
      </c>
    </row>
    <row r="26" ht="16" customHeight="1">
      <c r="B26" s="11">
        <f>IF($J$26="","",IF(INDEX(IngQtyText,$J$26)&lt;&gt;"",INDEX(IngQtyText,$J$26),IF(ROUND(INDEX(IngQty,$J$26)*$F$1,3)=INT(ROUND(INDEX(IngQty,$J$26)*$F$1,3)),TEXT(ROUND(INDEX(IngQty,$J$26)*$F$1,3),"0"),TEXT(ROUND(INDEX(IngQty,$J$26)*$F$1,3),"0.###"))&amp;" "&amp;INDEX(IngUnit,$J$26)))</f>
        <v/>
      </c>
      <c r="C26" s="12">
        <f>IF($J$26="","",INDEX(IngName,$J$26))</f>
        <v/>
      </c>
      <c r="D26" s="13">
        <f>IF($J$26="","",INDEX(IngPrep,$J$26))</f>
        <v/>
      </c>
      <c r="F26" s="14">
        <f>IF($K$26="","",TEXT(8,"00"))</f>
        <v/>
      </c>
      <c r="G26" s="15">
        <f>IF($K$26="","",INDEX(StepTitle,$K$26)&amp;IF(INDEX(StepTime,$K$26)&lt;&gt;""," ("&amp;INDEX(StepTime,$K$26)&amp;")",""))</f>
        <v/>
      </c>
      <c r="J26">
        <f>IFERROR(MATCH($C$1&amp;"|"&amp;15,IngKey,0),"")</f>
        <v/>
      </c>
      <c r="K26">
        <f>IFERROR(MATCH($C$1&amp;"|"&amp;8,StepKey,0),"")</f>
        <v/>
      </c>
    </row>
    <row r="27" ht="26" customHeight="1">
      <c r="B27" s="11">
        <f>IF($J$27="","",IF(INDEX(IngQtyText,$J$27)&lt;&gt;"",INDEX(IngQtyText,$J$27),IF(ROUND(INDEX(IngQty,$J$27)*$F$1,3)=INT(ROUND(INDEX(IngQty,$J$27)*$F$1,3)),TEXT(ROUND(INDEX(IngQty,$J$27)*$F$1,3),"0"),TEXT(ROUND(INDEX(IngQty,$J$27)*$F$1,3),"0.###"))&amp;" "&amp;INDEX(IngUnit,$J$27)))</f>
        <v/>
      </c>
      <c r="C27" s="12">
        <f>IF($J$27="","",INDEX(IngName,$J$27))</f>
        <v/>
      </c>
      <c r="D27" s="13">
        <f>IF($J$27="","",INDEX(IngPrep,$J$27))</f>
        <v/>
      </c>
      <c r="F27" s="16" t="n"/>
      <c r="G27" s="17">
        <f>IF($K$26="","",INDEX(StepDesc,$K$26))</f>
        <v/>
      </c>
      <c r="J27">
        <f>IFERROR(MATCH($C$1&amp;"|"&amp;16,IngKey,0),"")</f>
        <v/>
      </c>
    </row>
    <row r="28" ht="16" customHeight="1">
      <c r="B28" s="11">
        <f>IF($J$28="","",IF(INDEX(IngQtyText,$J$28)&lt;&gt;"",INDEX(IngQtyText,$J$28),IF(ROUND(INDEX(IngQty,$J$28)*$F$1,3)=INT(ROUND(INDEX(IngQty,$J$28)*$F$1,3)),TEXT(ROUND(INDEX(IngQty,$J$28)*$F$1,3),"0"),TEXT(ROUND(INDEX(IngQty,$J$28)*$F$1,3),"0.###"))&amp;" "&amp;INDEX(IngUnit,$J$28)))</f>
        <v/>
      </c>
      <c r="C28" s="12">
        <f>IF($J$28="","",INDEX(IngName,$J$28))</f>
        <v/>
      </c>
      <c r="D28" s="13">
        <f>IF($J$28="","",INDEX(IngPrep,$J$28))</f>
        <v/>
      </c>
      <c r="F28" s="14">
        <f>IF($K$28="","",TEXT(9,"00"))</f>
        <v/>
      </c>
      <c r="G28" s="15">
        <f>IF($K$28="","",INDEX(StepTitle,$K$28)&amp;IF(INDEX(StepTime,$K$28)&lt;&gt;""," ("&amp;INDEX(StepTime,$K$28)&amp;")",""))</f>
        <v/>
      </c>
      <c r="J28">
        <f>IFERROR(MATCH($C$1&amp;"|"&amp;17,IngKey,0),"")</f>
        <v/>
      </c>
      <c r="K28">
        <f>IFERROR(MATCH($C$1&amp;"|"&amp;9,StepKey,0),"")</f>
        <v/>
      </c>
    </row>
    <row r="29" ht="26" customHeight="1">
      <c r="B29" s="11">
        <f>IF($J$29="","",IF(INDEX(IngQtyText,$J$29)&lt;&gt;"",INDEX(IngQtyText,$J$29),IF(ROUND(INDEX(IngQty,$J$29)*$F$1,3)=INT(ROUND(INDEX(IngQty,$J$29)*$F$1,3)),TEXT(ROUND(INDEX(IngQty,$J$29)*$F$1,3),"0"),TEXT(ROUND(INDEX(IngQty,$J$29)*$F$1,3),"0.###"))&amp;" "&amp;INDEX(IngUnit,$J$29)))</f>
        <v/>
      </c>
      <c r="C29" s="12">
        <f>IF($J$29="","",INDEX(IngName,$J$29))</f>
        <v/>
      </c>
      <c r="D29" s="13">
        <f>IF($J$29="","",INDEX(IngPrep,$J$29))</f>
        <v/>
      </c>
      <c r="F29" s="16" t="n"/>
      <c r="G29" s="17">
        <f>IF($K$28="","",INDEX(StepDesc,$K$28))</f>
        <v/>
      </c>
      <c r="J29">
        <f>IFERROR(MATCH($C$1&amp;"|"&amp;18,IngKey,0),"")</f>
        <v/>
      </c>
    </row>
    <row r="30" ht="16" customHeight="1">
      <c r="B30" s="11">
        <f>IF($J$30="","",IF(INDEX(IngQtyText,$J$30)&lt;&gt;"",INDEX(IngQtyText,$J$30),IF(ROUND(INDEX(IngQty,$J$30)*$F$1,3)=INT(ROUND(INDEX(IngQty,$J$30)*$F$1,3)),TEXT(ROUND(INDEX(IngQty,$J$30)*$F$1,3),"0"),TEXT(ROUND(INDEX(IngQty,$J$30)*$F$1,3),"0.###"))&amp;" "&amp;INDEX(IngUnit,$J$30)))</f>
        <v/>
      </c>
      <c r="C30" s="12">
        <f>IF($J$30="","",INDEX(IngName,$J$30))</f>
        <v/>
      </c>
      <c r="D30" s="13">
        <f>IF($J$30="","",INDEX(IngPrep,$J$30))</f>
        <v/>
      </c>
      <c r="F30" s="14">
        <f>IF($K$30="","",TEXT(10,"00"))</f>
        <v/>
      </c>
      <c r="G30" s="15">
        <f>IF($K$30="","",INDEX(StepTitle,$K$30)&amp;IF(INDEX(StepTime,$K$30)&lt;&gt;""," ("&amp;INDEX(StepTime,$K$30)&amp;")",""))</f>
        <v/>
      </c>
      <c r="J30">
        <f>IFERROR(MATCH($C$1&amp;"|"&amp;19,IngKey,0),"")</f>
        <v/>
      </c>
      <c r="K30">
        <f>IFERROR(MATCH($C$1&amp;"|"&amp;10,StepKey,0),"")</f>
        <v/>
      </c>
    </row>
    <row r="31" ht="26" customHeight="1">
      <c r="B31" s="11">
        <f>IF($J$31="","",IF(INDEX(IngQtyText,$J$31)&lt;&gt;"",INDEX(IngQtyText,$J$31),IF(ROUND(INDEX(IngQty,$J$31)*$F$1,3)=INT(ROUND(INDEX(IngQty,$J$31)*$F$1,3)),TEXT(ROUND(INDEX(IngQty,$J$31)*$F$1,3),"0"),TEXT(ROUND(INDEX(IngQty,$J$31)*$F$1,3),"0.###"))&amp;" "&amp;INDEX(IngUnit,$J$31)))</f>
        <v/>
      </c>
      <c r="C31" s="12">
        <f>IF($J$31="","",INDEX(IngName,$J$31))</f>
        <v/>
      </c>
      <c r="D31" s="13">
        <f>IF($J$31="","",INDEX(IngPrep,$J$31))</f>
        <v/>
      </c>
      <c r="F31" s="16" t="n"/>
      <c r="G31" s="17">
        <f>IF($K$30="","",INDEX(StepDesc,$K$30))</f>
        <v/>
      </c>
      <c r="J31">
        <f>IFERROR(MATCH($C$1&amp;"|"&amp;20,IngKey,0),"")</f>
        <v/>
      </c>
    </row>
    <row r="32" ht="16" customHeight="1">
      <c r="F32" s="14">
        <f>IF($K$32="","",TEXT(11,"00"))</f>
        <v/>
      </c>
      <c r="G32" s="15">
        <f>IF($K$32="","",INDEX(StepTitle,$K$32)&amp;IF(INDEX(StepTime,$K$32)&lt;&gt;""," ("&amp;INDEX(StepTime,$K$32)&amp;")",""))</f>
        <v/>
      </c>
      <c r="K32">
        <f>IFERROR(MATCH($C$1&amp;"|"&amp;11,StepKey,0),"")</f>
        <v/>
      </c>
    </row>
    <row r="33" ht="26" customHeight="1">
      <c r="B33" s="18" t="inlineStr">
        <is>
          <t>CRITICAL STEPS</t>
        </is>
      </c>
      <c r="C33" s="19" t="n"/>
      <c r="D33" s="19" t="n"/>
      <c r="F33" s="16" t="n"/>
      <c r="G33" s="17">
        <f>IF($K$32="","",INDEX(StepDesc,$K$32))</f>
        <v/>
      </c>
    </row>
    <row r="34" ht="22" customHeight="1">
      <c r="B34" s="20">
        <f>IF($L$34="","","!   "&amp;INDEX(CritText,$L$34))</f>
        <v/>
      </c>
      <c r="C34" s="19" t="n"/>
      <c r="D34" s="19" t="n"/>
      <c r="F34" s="14">
        <f>IF($K$34="","",TEXT(12,"00"))</f>
        <v/>
      </c>
      <c r="G34" s="15">
        <f>IF($K$34="","",INDEX(StepTitle,$K$34)&amp;IF(INDEX(StepTime,$K$34)&lt;&gt;""," ("&amp;INDEX(StepTime,$K$34)&amp;")",""))</f>
        <v/>
      </c>
      <c r="K34">
        <f>IFERROR(MATCH($C$1&amp;"|"&amp;12,StepKey,0),"")</f>
        <v/>
      </c>
      <c r="L34">
        <f>IFERROR(MATCH($C$1&amp;"|"&amp;1,CritKey,0),"")</f>
        <v/>
      </c>
    </row>
    <row r="35" ht="22" customHeight="1">
      <c r="B35" s="20">
        <f>IF($L$35="","","!   "&amp;INDEX(CritText,$L$35))</f>
        <v/>
      </c>
      <c r="C35" s="19" t="n"/>
      <c r="D35" s="19" t="n"/>
      <c r="F35" s="16" t="n"/>
      <c r="G35" s="17">
        <f>IF($K$34="","",INDEX(StepDesc,$K$34))</f>
        <v/>
      </c>
      <c r="L35">
        <f>IFERROR(MATCH($C$1&amp;"|"&amp;2,CritKey,0),"")</f>
        <v/>
      </c>
    </row>
    <row r="36" ht="22" customHeight="1">
      <c r="B36" s="20">
        <f>IF($L$36="","","!   "&amp;INDEX(CritText,$L$36))</f>
        <v/>
      </c>
      <c r="C36" s="19" t="n"/>
      <c r="D36" s="19" t="n"/>
      <c r="F36" s="14">
        <f>IF($K$36="","",TEXT(13,"00"))</f>
        <v/>
      </c>
      <c r="G36" s="15">
        <f>IF($K$36="","",INDEX(StepTitle,$K$36)&amp;IF(INDEX(StepTime,$K$36)&lt;&gt;""," ("&amp;INDEX(StepTime,$K$36)&amp;")",""))</f>
        <v/>
      </c>
      <c r="K36">
        <f>IFERROR(MATCH($C$1&amp;"|"&amp;13,StepKey,0),"")</f>
        <v/>
      </c>
      <c r="L36">
        <f>IFERROR(MATCH($C$1&amp;"|"&amp;3,CritKey,0),"")</f>
        <v/>
      </c>
    </row>
    <row r="37" ht="22" customHeight="1">
      <c r="B37" s="20">
        <f>IF($L$37="","","!   "&amp;INDEX(CritText,$L$37))</f>
        <v/>
      </c>
      <c r="C37" s="19" t="n"/>
      <c r="D37" s="19" t="n"/>
      <c r="F37" s="16" t="n"/>
      <c r="G37" s="17">
        <f>IF($K$36="","",INDEX(StepDesc,$K$36))</f>
        <v/>
      </c>
      <c r="L37">
        <f>IFERROR(MATCH($C$1&amp;"|"&amp;4,CritKey,0),"")</f>
        <v/>
      </c>
    </row>
    <row r="38" ht="22" customHeight="1">
      <c r="B38" s="20">
        <f>IF($L$38="","","!   "&amp;INDEX(CritText,$L$38))</f>
        <v/>
      </c>
      <c r="C38" s="19" t="n"/>
      <c r="D38" s="19" t="n"/>
      <c r="F38" s="14">
        <f>IF($K$38="","",TEXT(14,"00"))</f>
        <v/>
      </c>
      <c r="G38" s="15">
        <f>IF($K$38="","",INDEX(StepTitle,$K$38)&amp;IF(INDEX(StepTime,$K$38)&lt;&gt;""," ("&amp;INDEX(StepTime,$K$38)&amp;")",""))</f>
        <v/>
      </c>
      <c r="K38">
        <f>IFERROR(MATCH($C$1&amp;"|"&amp;14,StepKey,0),"")</f>
        <v/>
      </c>
      <c r="L38">
        <f>IFERROR(MATCH($C$1&amp;"|"&amp;5,CritKey,0),"")</f>
        <v/>
      </c>
    </row>
    <row r="39" ht="22" customHeight="1">
      <c r="B39" s="20">
        <f>IF($L$39="","","!   "&amp;INDEX(CritText,$L$39))</f>
        <v/>
      </c>
      <c r="C39" s="19" t="n"/>
      <c r="D39" s="19" t="n"/>
      <c r="F39" s="16" t="n"/>
      <c r="G39" s="17">
        <f>IF($K$38="","",INDEX(StepDesc,$K$38))</f>
        <v/>
      </c>
      <c r="L39">
        <f>IFERROR(MATCH($C$1&amp;"|"&amp;6,CritKey,0),"")</f>
        <v/>
      </c>
    </row>
    <row r="40" ht="16" customHeight="1">
      <c r="F40" s="14">
        <f>IF($K$40="","",TEXT(15,"00"))</f>
        <v/>
      </c>
      <c r="G40" s="15">
        <f>IF($K$40="","",INDEX(StepTitle,$K$40)&amp;IF(INDEX(StepTime,$K$40)&lt;&gt;""," ("&amp;INDEX(StepTime,$K$40)&amp;")",""))</f>
        <v/>
      </c>
      <c r="K40">
        <f>IFERROR(MATCH($C$1&amp;"|"&amp;15,StepKey,0),"")</f>
        <v/>
      </c>
    </row>
    <row r="41" ht="26" customHeight="1">
      <c r="B41" s="21" t="inlineStr">
        <is>
          <t>STORAGE &amp; HANDLING</t>
        </is>
      </c>
      <c r="C41" s="22" t="n"/>
      <c r="D41" s="22" t="n"/>
      <c r="F41" s="16" t="n"/>
      <c r="G41" s="17">
        <f>IF($K$40="","",INDEX(StepDesc,$K$40))</f>
        <v/>
      </c>
    </row>
    <row r="42" ht="16" customHeight="1">
      <c r="B42" s="23">
        <f>IFERROR(INDEX(RecStorage,$J$1),"")</f>
        <v/>
      </c>
      <c r="F42" s="14">
        <f>IF($K$42="","",TEXT(16,"00"))</f>
        <v/>
      </c>
      <c r="G42" s="15">
        <f>IF($K$42="","",INDEX(StepTitle,$K$42)&amp;IF(INDEX(StepTime,$K$42)&lt;&gt;""," ("&amp;INDEX(StepTime,$K$42)&amp;")",""))</f>
        <v/>
      </c>
      <c r="K42">
        <f>IFERROR(MATCH($C$1&amp;"|"&amp;16,StepKey,0),"")</f>
        <v/>
      </c>
    </row>
    <row r="43" ht="26" customHeight="1">
      <c r="F43" s="16" t="n"/>
      <c r="G43" s="17">
        <f>IF($K$42="","",INDEX(StepDesc,$K$42))</f>
        <v/>
      </c>
    </row>
    <row r="44"/>
    <row r="45">
      <c r="B45" s="9" t="n"/>
      <c r="C45" s="9" t="n"/>
      <c r="D45" s="9" t="n"/>
      <c r="E45" s="9" t="n"/>
      <c r="F45" s="9" t="n"/>
      <c r="G45" s="9" t="n"/>
    </row>
    <row r="46">
      <c r="B46" s="24" t="inlineStr">
        <is>
          <t>FOXTOWN BREWING · KITCHEN BUILD CARD</t>
        </is>
      </c>
      <c r="G46" s="25">
        <f>IF($J$1="","",UPPER(INDEX(RecCategory,$J$1)))</f>
        <v/>
      </c>
    </row>
  </sheetData>
  <mergeCells count="14">
    <mergeCell ref="D8:E8"/>
    <mergeCell ref="F2:G2"/>
    <mergeCell ref="B5:D5"/>
    <mergeCell ref="B36:D36"/>
    <mergeCell ref="D7:E7"/>
    <mergeCell ref="B34:D34"/>
    <mergeCell ref="B37:D37"/>
    <mergeCell ref="B42:D44"/>
    <mergeCell ref="B35:D35"/>
    <mergeCell ref="B3:D4"/>
    <mergeCell ref="B39:D39"/>
    <mergeCell ref="B38:D38"/>
    <mergeCell ref="F7:G7"/>
    <mergeCell ref="F8:G8"/>
  </mergeCells>
  <conditionalFormatting sqref="B12:D31">
    <cfRule type="expression" priority="1" dxfId="0">
      <formula>AND($C12&lt;&gt;"",MOD(ROW(),2)=0)</formula>
    </cfRule>
  </conditionalFormatting>
  <dataValidations count="1">
    <dataValidation sqref="C1" showDropDown="0" showInputMessage="0" showErrorMessage="0" allowBlank="1" type="list">
      <formula1>RecNameList</formula1>
    </dataValidation>
  </dataValidations>
  <pageMargins left="0.4" right="0.4" top="0.4" bottom="0.4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L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6" customWidth="1" min="3" max="3"/>
    <col width="18" customWidth="1" min="4" max="4"/>
    <col width="3" customWidth="1" min="5" max="5"/>
    <col width="5" customWidth="1" min="6" max="6"/>
    <col width="58" customWidth="1" min="7" max="7"/>
    <col width="2" customWidth="1" min="8" max="8"/>
    <col hidden="1" width="13" customWidth="1" min="10" max="10"/>
    <col hidden="1" width="13" customWidth="1" min="11" max="11"/>
    <col hidden="1" width="13" customWidth="1" min="12" max="12"/>
  </cols>
  <sheetData>
    <row r="1">
      <c r="B1" s="1" t="inlineStr">
        <is>
          <t>RECIPE</t>
        </is>
      </c>
      <c r="C1" s="2" t="inlineStr">
        <is>
          <t>House Potato Chips</t>
        </is>
      </c>
      <c r="E1" s="1" t="inlineStr">
        <is>
          <t>SCALE ×</t>
        </is>
      </c>
      <c r="F1" s="2" t="n">
        <v>1</v>
      </c>
      <c r="J1">
        <f>IFERROR(MATCH($C$1,RecName,0),"")</f>
        <v/>
      </c>
    </row>
    <row r="2" ht="22" customHeight="1">
      <c r="B2" s="3" t="inlineStr">
        <is>
          <t>FOXTOWN BREWING · KITCHEN BUILD CARD</t>
        </is>
      </c>
      <c r="F2" s="4">
        <f>IF($J$1="","",UPPER(INDEX(RecStation,$J$1))&amp;" STATION")</f>
        <v/>
      </c>
    </row>
    <row r="3">
      <c r="B3" s="5">
        <f>UPPER($C$1)</f>
        <v/>
      </c>
    </row>
    <row r="4"/>
    <row r="5" ht="22" customHeight="1">
      <c r="B5" s="6">
        <f>IFERROR(INDEX(RecDesc,$J$1),"")</f>
        <v/>
      </c>
      <c r="C5" s="7" t="n"/>
      <c r="D5" s="7" t="n"/>
      <c r="E5" s="7" t="n"/>
      <c r="F5" s="7" t="n"/>
      <c r="G5" s="7" t="n"/>
    </row>
    <row r="7" ht="14" customHeight="1">
      <c r="B7" s="1" t="inlineStr">
        <is>
          <t>YIELD</t>
        </is>
      </c>
      <c r="C7" s="1" t="inlineStr">
        <is>
          <t>PREP TIME</t>
        </is>
      </c>
      <c r="D7" s="1" t="inlineStr">
        <is>
          <t>SHELF LIFE</t>
        </is>
      </c>
      <c r="F7" s="1" t="inlineStr">
        <is>
          <t>EQUIPMENT</t>
        </is>
      </c>
    </row>
    <row r="8" ht="20" customHeight="1">
      <c r="B8" s="8">
        <f>IFERROR(IF(ROUND(INDEX(RecYieldQty,$J$1)*$F$1,3)=INT(ROUND(INDEX(RecYieldQty,$J$1)*$F$1,3)),TEXT(ROUND(INDEX(RecYieldQty,$J$1)*$F$1,3),"0"),TEXT(ROUND(INDEX(RecYieldQty,$J$1)*$F$1,3),"0.###"))&amp;" "&amp;INDEX(RecYieldUnit,$J$1),"")</f>
        <v/>
      </c>
      <c r="C8" s="8">
        <f>IFERROR(INDEX(RecPrep,$J$1),"")</f>
        <v/>
      </c>
      <c r="D8" s="8">
        <f>IFERROR(INDEX(RecShelf,$J$1),"")</f>
        <v/>
      </c>
      <c r="E8" s="9" t="n"/>
      <c r="F8" s="8">
        <f>IFERROR(INDEX(RecEquip,$J$1),"")</f>
        <v/>
      </c>
      <c r="G8" s="9" t="n"/>
    </row>
    <row r="10">
      <c r="B10" s="10" t="inlineStr">
        <is>
          <t>INGREDIENTS</t>
        </is>
      </c>
      <c r="C10" s="7" t="n"/>
      <c r="D10" s="7" t="n"/>
      <c r="F10" s="10" t="inlineStr">
        <is>
          <t>METHOD</t>
        </is>
      </c>
      <c r="G10" s="7" t="n"/>
    </row>
    <row r="11">
      <c r="B11" s="1" t="inlineStr">
        <is>
          <t>QTY</t>
        </is>
      </c>
      <c r="C11" s="1" t="inlineStr">
        <is>
          <t>INGREDIENT</t>
        </is>
      </c>
      <c r="D11" s="1" t="inlineStr">
        <is>
          <t>PREP</t>
        </is>
      </c>
    </row>
    <row r="12" ht="16" customHeight="1">
      <c r="B12" s="11">
        <f>IF($J$12="","",IF(INDEX(IngQtyText,$J$12)&lt;&gt;"",INDEX(IngQtyText,$J$12),IF(ROUND(INDEX(IngQty,$J$12)*$F$1,3)=INT(ROUND(INDEX(IngQty,$J$12)*$F$1,3)),TEXT(ROUND(INDEX(IngQty,$J$12)*$F$1,3),"0"),TEXT(ROUND(INDEX(IngQty,$J$12)*$F$1,3),"0.###"))&amp;" "&amp;INDEX(IngUnit,$J$12)))</f>
        <v/>
      </c>
      <c r="C12" s="12">
        <f>IF($J$12="","",INDEX(IngName,$J$12))</f>
        <v/>
      </c>
      <c r="D12" s="13">
        <f>IF($J$12="","",INDEX(IngPrep,$J$12))</f>
        <v/>
      </c>
      <c r="F12" s="14">
        <f>IF($K$12="","",TEXT(1,"00"))</f>
        <v/>
      </c>
      <c r="G12" s="15">
        <f>IF($K$12="","",INDEX(StepTitle,$K$12)&amp;IF(INDEX(StepTime,$K$12)&lt;&gt;""," ("&amp;INDEX(StepTime,$K$12)&amp;")",""))</f>
        <v/>
      </c>
      <c r="J12">
        <f>IFERROR(MATCH($C$1&amp;"|"&amp;1,IngKey,0),"")</f>
        <v/>
      </c>
      <c r="K12">
        <f>IFERROR(MATCH($C$1&amp;"|"&amp;1,StepKey,0),"")</f>
        <v/>
      </c>
    </row>
    <row r="13" ht="26" customHeight="1">
      <c r="B13" s="11">
        <f>IF($J$13="","",IF(INDEX(IngQtyText,$J$13)&lt;&gt;"",INDEX(IngQtyText,$J$13),IF(ROUND(INDEX(IngQty,$J$13)*$F$1,3)=INT(ROUND(INDEX(IngQty,$J$13)*$F$1,3)),TEXT(ROUND(INDEX(IngQty,$J$13)*$F$1,3),"0"),TEXT(ROUND(INDEX(IngQty,$J$13)*$F$1,3),"0.###"))&amp;" "&amp;INDEX(IngUnit,$J$13)))</f>
        <v/>
      </c>
      <c r="C13" s="12">
        <f>IF($J$13="","",INDEX(IngName,$J$13))</f>
        <v/>
      </c>
      <c r="D13" s="13">
        <f>IF($J$13="","",INDEX(IngPrep,$J$13))</f>
        <v/>
      </c>
      <c r="F13" s="16" t="n"/>
      <c r="G13" s="17">
        <f>IF($K$12="","",INDEX(StepDesc,$K$12))</f>
        <v/>
      </c>
      <c r="J13">
        <f>IFERROR(MATCH($C$1&amp;"|"&amp;2,IngKey,0),"")</f>
        <v/>
      </c>
    </row>
    <row r="14" ht="16" customHeight="1">
      <c r="B14" s="11">
        <f>IF($J$14="","",IF(INDEX(IngQtyText,$J$14)&lt;&gt;"",INDEX(IngQtyText,$J$14),IF(ROUND(INDEX(IngQty,$J$14)*$F$1,3)=INT(ROUND(INDEX(IngQty,$J$14)*$F$1,3)),TEXT(ROUND(INDEX(IngQty,$J$14)*$F$1,3),"0"),TEXT(ROUND(INDEX(IngQty,$J$14)*$F$1,3),"0.###"))&amp;" "&amp;INDEX(IngUnit,$J$14)))</f>
        <v/>
      </c>
      <c r="C14" s="12">
        <f>IF($J$14="","",INDEX(IngName,$J$14))</f>
        <v/>
      </c>
      <c r="D14" s="13">
        <f>IF($J$14="","",INDEX(IngPrep,$J$14))</f>
        <v/>
      </c>
      <c r="F14" s="14">
        <f>IF($K$14="","",TEXT(2,"00"))</f>
        <v/>
      </c>
      <c r="G14" s="15">
        <f>IF($K$14="","",INDEX(StepTitle,$K$14)&amp;IF(INDEX(StepTime,$K$14)&lt;&gt;""," ("&amp;INDEX(StepTime,$K$14)&amp;")",""))</f>
        <v/>
      </c>
      <c r="J14">
        <f>IFERROR(MATCH($C$1&amp;"|"&amp;3,IngKey,0),"")</f>
        <v/>
      </c>
      <c r="K14">
        <f>IFERROR(MATCH($C$1&amp;"|"&amp;2,StepKey,0),"")</f>
        <v/>
      </c>
    </row>
    <row r="15" ht="26" customHeight="1">
      <c r="B15" s="11">
        <f>IF($J$15="","",IF(INDEX(IngQtyText,$J$15)&lt;&gt;"",INDEX(IngQtyText,$J$15),IF(ROUND(INDEX(IngQty,$J$15)*$F$1,3)=INT(ROUND(INDEX(IngQty,$J$15)*$F$1,3)),TEXT(ROUND(INDEX(IngQty,$J$15)*$F$1,3),"0"),TEXT(ROUND(INDEX(IngQty,$J$15)*$F$1,3),"0.###"))&amp;" "&amp;INDEX(IngUnit,$J$15)))</f>
        <v/>
      </c>
      <c r="C15" s="12">
        <f>IF($J$15="","",INDEX(IngName,$J$15))</f>
        <v/>
      </c>
      <c r="D15" s="13">
        <f>IF($J$15="","",INDEX(IngPrep,$J$15))</f>
        <v/>
      </c>
      <c r="F15" s="16" t="n"/>
      <c r="G15" s="17">
        <f>IF($K$14="","",INDEX(StepDesc,$K$14))</f>
        <v/>
      </c>
      <c r="J15">
        <f>IFERROR(MATCH($C$1&amp;"|"&amp;4,IngKey,0),"")</f>
        <v/>
      </c>
    </row>
    <row r="16" ht="16" customHeight="1">
      <c r="B16" s="11">
        <f>IF($J$16="","",IF(INDEX(IngQtyText,$J$16)&lt;&gt;"",INDEX(IngQtyText,$J$16),IF(ROUND(INDEX(IngQty,$J$16)*$F$1,3)=INT(ROUND(INDEX(IngQty,$J$16)*$F$1,3)),TEXT(ROUND(INDEX(IngQty,$J$16)*$F$1,3),"0"),TEXT(ROUND(INDEX(IngQty,$J$16)*$F$1,3),"0.###"))&amp;" "&amp;INDEX(IngUnit,$J$16)))</f>
        <v/>
      </c>
      <c r="C16" s="12">
        <f>IF($J$16="","",INDEX(IngName,$J$16))</f>
        <v/>
      </c>
      <c r="D16" s="13">
        <f>IF($J$16="","",INDEX(IngPrep,$J$16))</f>
        <v/>
      </c>
      <c r="F16" s="14">
        <f>IF($K$16="","",TEXT(3,"00"))</f>
        <v/>
      </c>
      <c r="G16" s="15">
        <f>IF($K$16="","",INDEX(StepTitle,$K$16)&amp;IF(INDEX(StepTime,$K$16)&lt;&gt;""," ("&amp;INDEX(StepTime,$K$16)&amp;")",""))</f>
        <v/>
      </c>
      <c r="J16">
        <f>IFERROR(MATCH($C$1&amp;"|"&amp;5,IngKey,0),"")</f>
        <v/>
      </c>
      <c r="K16">
        <f>IFERROR(MATCH($C$1&amp;"|"&amp;3,StepKey,0),"")</f>
        <v/>
      </c>
    </row>
    <row r="17" ht="26" customHeight="1">
      <c r="B17" s="11">
        <f>IF($J$17="","",IF(INDEX(IngQtyText,$J$17)&lt;&gt;"",INDEX(IngQtyText,$J$17),IF(ROUND(INDEX(IngQty,$J$17)*$F$1,3)=INT(ROUND(INDEX(IngQty,$J$17)*$F$1,3)),TEXT(ROUND(INDEX(IngQty,$J$17)*$F$1,3),"0"),TEXT(ROUND(INDEX(IngQty,$J$17)*$F$1,3),"0.###"))&amp;" "&amp;INDEX(IngUnit,$J$17)))</f>
        <v/>
      </c>
      <c r="C17" s="12">
        <f>IF($J$17="","",INDEX(IngName,$J$17))</f>
        <v/>
      </c>
      <c r="D17" s="13">
        <f>IF($J$17="","",INDEX(IngPrep,$J$17))</f>
        <v/>
      </c>
      <c r="F17" s="16" t="n"/>
      <c r="G17" s="17">
        <f>IF($K$16="","",INDEX(StepDesc,$K$16))</f>
        <v/>
      </c>
      <c r="J17">
        <f>IFERROR(MATCH($C$1&amp;"|"&amp;6,IngKey,0),"")</f>
        <v/>
      </c>
    </row>
    <row r="18" ht="16" customHeight="1">
      <c r="B18" s="11">
        <f>IF($J$18="","",IF(INDEX(IngQtyText,$J$18)&lt;&gt;"",INDEX(IngQtyText,$J$18),IF(ROUND(INDEX(IngQty,$J$18)*$F$1,3)=INT(ROUND(INDEX(IngQty,$J$18)*$F$1,3)),TEXT(ROUND(INDEX(IngQty,$J$18)*$F$1,3),"0"),TEXT(ROUND(INDEX(IngQty,$J$18)*$F$1,3),"0.###"))&amp;" "&amp;INDEX(IngUnit,$J$18)))</f>
        <v/>
      </c>
      <c r="C18" s="12">
        <f>IF($J$18="","",INDEX(IngName,$J$18))</f>
        <v/>
      </c>
      <c r="D18" s="13">
        <f>IF($J$18="","",INDEX(IngPrep,$J$18))</f>
        <v/>
      </c>
      <c r="F18" s="14">
        <f>IF($K$18="","",TEXT(4,"00"))</f>
        <v/>
      </c>
      <c r="G18" s="15">
        <f>IF($K$18="","",INDEX(StepTitle,$K$18)&amp;IF(INDEX(StepTime,$K$18)&lt;&gt;""," ("&amp;INDEX(StepTime,$K$18)&amp;")",""))</f>
        <v/>
      </c>
      <c r="J18">
        <f>IFERROR(MATCH($C$1&amp;"|"&amp;7,IngKey,0),"")</f>
        <v/>
      </c>
      <c r="K18">
        <f>IFERROR(MATCH($C$1&amp;"|"&amp;4,StepKey,0),"")</f>
        <v/>
      </c>
    </row>
    <row r="19" ht="26" customHeight="1">
      <c r="B19" s="11">
        <f>IF($J$19="","",IF(INDEX(IngQtyText,$J$19)&lt;&gt;"",INDEX(IngQtyText,$J$19),IF(ROUND(INDEX(IngQty,$J$19)*$F$1,3)=INT(ROUND(INDEX(IngQty,$J$19)*$F$1,3)),TEXT(ROUND(INDEX(IngQty,$J$19)*$F$1,3),"0"),TEXT(ROUND(INDEX(IngQty,$J$19)*$F$1,3),"0.###"))&amp;" "&amp;INDEX(IngUnit,$J$19)))</f>
        <v/>
      </c>
      <c r="C19" s="12">
        <f>IF($J$19="","",INDEX(IngName,$J$19))</f>
        <v/>
      </c>
      <c r="D19" s="13">
        <f>IF($J$19="","",INDEX(IngPrep,$J$19))</f>
        <v/>
      </c>
      <c r="F19" s="16" t="n"/>
      <c r="G19" s="17">
        <f>IF($K$18="","",INDEX(StepDesc,$K$18))</f>
        <v/>
      </c>
      <c r="J19">
        <f>IFERROR(MATCH($C$1&amp;"|"&amp;8,IngKey,0),"")</f>
        <v/>
      </c>
    </row>
    <row r="20" ht="16" customHeight="1">
      <c r="B20" s="11">
        <f>IF($J$20="","",IF(INDEX(IngQtyText,$J$20)&lt;&gt;"",INDEX(IngQtyText,$J$20),IF(ROUND(INDEX(IngQty,$J$20)*$F$1,3)=INT(ROUND(INDEX(IngQty,$J$20)*$F$1,3)),TEXT(ROUND(INDEX(IngQty,$J$20)*$F$1,3),"0"),TEXT(ROUND(INDEX(IngQty,$J$20)*$F$1,3),"0.###"))&amp;" "&amp;INDEX(IngUnit,$J$20)))</f>
        <v/>
      </c>
      <c r="C20" s="12">
        <f>IF($J$20="","",INDEX(IngName,$J$20))</f>
        <v/>
      </c>
      <c r="D20" s="13">
        <f>IF($J$20="","",INDEX(IngPrep,$J$20))</f>
        <v/>
      </c>
      <c r="F20" s="14">
        <f>IF($K$20="","",TEXT(5,"00"))</f>
        <v/>
      </c>
      <c r="G20" s="15">
        <f>IF($K$20="","",INDEX(StepTitle,$K$20)&amp;IF(INDEX(StepTime,$K$20)&lt;&gt;""," ("&amp;INDEX(StepTime,$K$20)&amp;")",""))</f>
        <v/>
      </c>
      <c r="J20">
        <f>IFERROR(MATCH($C$1&amp;"|"&amp;9,IngKey,0),"")</f>
        <v/>
      </c>
      <c r="K20">
        <f>IFERROR(MATCH($C$1&amp;"|"&amp;5,StepKey,0),"")</f>
        <v/>
      </c>
    </row>
    <row r="21" ht="26" customHeight="1">
      <c r="B21" s="11">
        <f>IF($J$21="","",IF(INDEX(IngQtyText,$J$21)&lt;&gt;"",INDEX(IngQtyText,$J$21),IF(ROUND(INDEX(IngQty,$J$21)*$F$1,3)=INT(ROUND(INDEX(IngQty,$J$21)*$F$1,3)),TEXT(ROUND(INDEX(IngQty,$J$21)*$F$1,3),"0"),TEXT(ROUND(INDEX(IngQty,$J$21)*$F$1,3),"0.###"))&amp;" "&amp;INDEX(IngUnit,$J$21)))</f>
        <v/>
      </c>
      <c r="C21" s="12">
        <f>IF($J$21="","",INDEX(IngName,$J$21))</f>
        <v/>
      </c>
      <c r="D21" s="13">
        <f>IF($J$21="","",INDEX(IngPrep,$J$21))</f>
        <v/>
      </c>
      <c r="F21" s="16" t="n"/>
      <c r="G21" s="17">
        <f>IF($K$20="","",INDEX(StepDesc,$K$20))</f>
        <v/>
      </c>
      <c r="J21">
        <f>IFERROR(MATCH($C$1&amp;"|"&amp;10,IngKey,0),"")</f>
        <v/>
      </c>
    </row>
    <row r="22" ht="16" customHeight="1">
      <c r="B22" s="11">
        <f>IF($J$22="","",IF(INDEX(IngQtyText,$J$22)&lt;&gt;"",INDEX(IngQtyText,$J$22),IF(ROUND(INDEX(IngQty,$J$22)*$F$1,3)=INT(ROUND(INDEX(IngQty,$J$22)*$F$1,3)),TEXT(ROUND(INDEX(IngQty,$J$22)*$F$1,3),"0"),TEXT(ROUND(INDEX(IngQty,$J$22)*$F$1,3),"0.###"))&amp;" "&amp;INDEX(IngUnit,$J$22)))</f>
        <v/>
      </c>
      <c r="C22" s="12">
        <f>IF($J$22="","",INDEX(IngName,$J$22))</f>
        <v/>
      </c>
      <c r="D22" s="13">
        <f>IF($J$22="","",INDEX(IngPrep,$J$22))</f>
        <v/>
      </c>
      <c r="F22" s="14">
        <f>IF($K$22="","",TEXT(6,"00"))</f>
        <v/>
      </c>
      <c r="G22" s="15">
        <f>IF($K$22="","",INDEX(StepTitle,$K$22)&amp;IF(INDEX(StepTime,$K$22)&lt;&gt;""," ("&amp;INDEX(StepTime,$K$22)&amp;")",""))</f>
        <v/>
      </c>
      <c r="J22">
        <f>IFERROR(MATCH($C$1&amp;"|"&amp;11,IngKey,0),"")</f>
        <v/>
      </c>
      <c r="K22">
        <f>IFERROR(MATCH($C$1&amp;"|"&amp;6,StepKey,0),"")</f>
        <v/>
      </c>
    </row>
    <row r="23" ht="26" customHeight="1">
      <c r="B23" s="11">
        <f>IF($J$23="","",IF(INDEX(IngQtyText,$J$23)&lt;&gt;"",INDEX(IngQtyText,$J$23),IF(ROUND(INDEX(IngQty,$J$23)*$F$1,3)=INT(ROUND(INDEX(IngQty,$J$23)*$F$1,3)),TEXT(ROUND(INDEX(IngQty,$J$23)*$F$1,3),"0"),TEXT(ROUND(INDEX(IngQty,$J$23)*$F$1,3),"0.###"))&amp;" "&amp;INDEX(IngUnit,$J$23)))</f>
        <v/>
      </c>
      <c r="C23" s="12">
        <f>IF($J$23="","",INDEX(IngName,$J$23))</f>
        <v/>
      </c>
      <c r="D23" s="13">
        <f>IF($J$23="","",INDEX(IngPrep,$J$23))</f>
        <v/>
      </c>
      <c r="F23" s="16" t="n"/>
      <c r="G23" s="17">
        <f>IF($K$22="","",INDEX(StepDesc,$K$22))</f>
        <v/>
      </c>
      <c r="J23">
        <f>IFERROR(MATCH($C$1&amp;"|"&amp;12,IngKey,0),"")</f>
        <v/>
      </c>
    </row>
    <row r="24" ht="16" customHeight="1">
      <c r="B24" s="11">
        <f>IF($J$24="","",IF(INDEX(IngQtyText,$J$24)&lt;&gt;"",INDEX(IngQtyText,$J$24),IF(ROUND(INDEX(IngQty,$J$24)*$F$1,3)=INT(ROUND(INDEX(IngQty,$J$24)*$F$1,3)),TEXT(ROUND(INDEX(IngQty,$J$24)*$F$1,3),"0"),TEXT(ROUND(INDEX(IngQty,$J$24)*$F$1,3),"0.###"))&amp;" "&amp;INDEX(IngUnit,$J$24)))</f>
        <v/>
      </c>
      <c r="C24" s="12">
        <f>IF($J$24="","",INDEX(IngName,$J$24))</f>
        <v/>
      </c>
      <c r="D24" s="13">
        <f>IF($J$24="","",INDEX(IngPrep,$J$24))</f>
        <v/>
      </c>
      <c r="F24" s="14">
        <f>IF($K$24="","",TEXT(7,"00"))</f>
        <v/>
      </c>
      <c r="G24" s="15">
        <f>IF($K$24="","",INDEX(StepTitle,$K$24)&amp;IF(INDEX(StepTime,$K$24)&lt;&gt;""," ("&amp;INDEX(StepTime,$K$24)&amp;")",""))</f>
        <v/>
      </c>
      <c r="J24">
        <f>IFERROR(MATCH($C$1&amp;"|"&amp;13,IngKey,0),"")</f>
        <v/>
      </c>
      <c r="K24">
        <f>IFERROR(MATCH($C$1&amp;"|"&amp;7,StepKey,0),"")</f>
        <v/>
      </c>
    </row>
    <row r="25" ht="26" customHeight="1">
      <c r="B25" s="11">
        <f>IF($J$25="","",IF(INDEX(IngQtyText,$J$25)&lt;&gt;"",INDEX(IngQtyText,$J$25),IF(ROUND(INDEX(IngQty,$J$25)*$F$1,3)=INT(ROUND(INDEX(IngQty,$J$25)*$F$1,3)),TEXT(ROUND(INDEX(IngQty,$J$25)*$F$1,3),"0"),TEXT(ROUND(INDEX(IngQty,$J$25)*$F$1,3),"0.###"))&amp;" "&amp;INDEX(IngUnit,$J$25)))</f>
        <v/>
      </c>
      <c r="C25" s="12">
        <f>IF($J$25="","",INDEX(IngName,$J$25))</f>
        <v/>
      </c>
      <c r="D25" s="13">
        <f>IF($J$25="","",INDEX(IngPrep,$J$25))</f>
        <v/>
      </c>
      <c r="F25" s="16" t="n"/>
      <c r="G25" s="17">
        <f>IF($K$24="","",INDEX(StepDesc,$K$24))</f>
        <v/>
      </c>
      <c r="J25">
        <f>IFERROR(MATCH($C$1&amp;"|"&amp;14,IngKey,0),"")</f>
        <v/>
      </c>
    </row>
    <row r="26" ht="16" customHeight="1">
      <c r="B26" s="11">
        <f>IF($J$26="","",IF(INDEX(IngQtyText,$J$26)&lt;&gt;"",INDEX(IngQtyText,$J$26),IF(ROUND(INDEX(IngQty,$J$26)*$F$1,3)=INT(ROUND(INDEX(IngQty,$J$26)*$F$1,3)),TEXT(ROUND(INDEX(IngQty,$J$26)*$F$1,3),"0"),TEXT(ROUND(INDEX(IngQty,$J$26)*$F$1,3),"0.###"))&amp;" "&amp;INDEX(IngUnit,$J$26)))</f>
        <v/>
      </c>
      <c r="C26" s="12">
        <f>IF($J$26="","",INDEX(IngName,$J$26))</f>
        <v/>
      </c>
      <c r="D26" s="13">
        <f>IF($J$26="","",INDEX(IngPrep,$J$26))</f>
        <v/>
      </c>
      <c r="F26" s="14">
        <f>IF($K$26="","",TEXT(8,"00"))</f>
        <v/>
      </c>
      <c r="G26" s="15">
        <f>IF($K$26="","",INDEX(StepTitle,$K$26)&amp;IF(INDEX(StepTime,$K$26)&lt;&gt;""," ("&amp;INDEX(StepTime,$K$26)&amp;")",""))</f>
        <v/>
      </c>
      <c r="J26">
        <f>IFERROR(MATCH($C$1&amp;"|"&amp;15,IngKey,0),"")</f>
        <v/>
      </c>
      <c r="K26">
        <f>IFERROR(MATCH($C$1&amp;"|"&amp;8,StepKey,0),"")</f>
        <v/>
      </c>
    </row>
    <row r="27" ht="26" customHeight="1">
      <c r="B27" s="11">
        <f>IF($J$27="","",IF(INDEX(IngQtyText,$J$27)&lt;&gt;"",INDEX(IngQtyText,$J$27),IF(ROUND(INDEX(IngQty,$J$27)*$F$1,3)=INT(ROUND(INDEX(IngQty,$J$27)*$F$1,3)),TEXT(ROUND(INDEX(IngQty,$J$27)*$F$1,3),"0"),TEXT(ROUND(INDEX(IngQty,$J$27)*$F$1,3),"0.###"))&amp;" "&amp;INDEX(IngUnit,$J$27)))</f>
        <v/>
      </c>
      <c r="C27" s="12">
        <f>IF($J$27="","",INDEX(IngName,$J$27))</f>
        <v/>
      </c>
      <c r="D27" s="13">
        <f>IF($J$27="","",INDEX(IngPrep,$J$27))</f>
        <v/>
      </c>
      <c r="F27" s="16" t="n"/>
      <c r="G27" s="17">
        <f>IF($K$26="","",INDEX(StepDesc,$K$26))</f>
        <v/>
      </c>
      <c r="J27">
        <f>IFERROR(MATCH($C$1&amp;"|"&amp;16,IngKey,0),"")</f>
        <v/>
      </c>
    </row>
    <row r="28" ht="16" customHeight="1">
      <c r="B28" s="11">
        <f>IF($J$28="","",IF(INDEX(IngQtyText,$J$28)&lt;&gt;"",INDEX(IngQtyText,$J$28),IF(ROUND(INDEX(IngQty,$J$28)*$F$1,3)=INT(ROUND(INDEX(IngQty,$J$28)*$F$1,3)),TEXT(ROUND(INDEX(IngQty,$J$28)*$F$1,3),"0"),TEXT(ROUND(INDEX(IngQty,$J$28)*$F$1,3),"0.###"))&amp;" "&amp;INDEX(IngUnit,$J$28)))</f>
        <v/>
      </c>
      <c r="C28" s="12">
        <f>IF($J$28="","",INDEX(IngName,$J$28))</f>
        <v/>
      </c>
      <c r="D28" s="13">
        <f>IF($J$28="","",INDEX(IngPrep,$J$28))</f>
        <v/>
      </c>
      <c r="F28" s="14">
        <f>IF($K$28="","",TEXT(9,"00"))</f>
        <v/>
      </c>
      <c r="G28" s="15">
        <f>IF($K$28="","",INDEX(StepTitle,$K$28)&amp;IF(INDEX(StepTime,$K$28)&lt;&gt;""," ("&amp;INDEX(StepTime,$K$28)&amp;")",""))</f>
        <v/>
      </c>
      <c r="J28">
        <f>IFERROR(MATCH($C$1&amp;"|"&amp;17,IngKey,0),"")</f>
        <v/>
      </c>
      <c r="K28">
        <f>IFERROR(MATCH($C$1&amp;"|"&amp;9,StepKey,0),"")</f>
        <v/>
      </c>
    </row>
    <row r="29" ht="26" customHeight="1">
      <c r="B29" s="11">
        <f>IF($J$29="","",IF(INDEX(IngQtyText,$J$29)&lt;&gt;"",INDEX(IngQtyText,$J$29),IF(ROUND(INDEX(IngQty,$J$29)*$F$1,3)=INT(ROUND(INDEX(IngQty,$J$29)*$F$1,3)),TEXT(ROUND(INDEX(IngQty,$J$29)*$F$1,3),"0"),TEXT(ROUND(INDEX(IngQty,$J$29)*$F$1,3),"0.###"))&amp;" "&amp;INDEX(IngUnit,$J$29)))</f>
        <v/>
      </c>
      <c r="C29" s="12">
        <f>IF($J$29="","",INDEX(IngName,$J$29))</f>
        <v/>
      </c>
      <c r="D29" s="13">
        <f>IF($J$29="","",INDEX(IngPrep,$J$29))</f>
        <v/>
      </c>
      <c r="F29" s="16" t="n"/>
      <c r="G29" s="17">
        <f>IF($K$28="","",INDEX(StepDesc,$K$28))</f>
        <v/>
      </c>
      <c r="J29">
        <f>IFERROR(MATCH($C$1&amp;"|"&amp;18,IngKey,0),"")</f>
        <v/>
      </c>
    </row>
    <row r="30" ht="16" customHeight="1">
      <c r="B30" s="11">
        <f>IF($J$30="","",IF(INDEX(IngQtyText,$J$30)&lt;&gt;"",INDEX(IngQtyText,$J$30),IF(ROUND(INDEX(IngQty,$J$30)*$F$1,3)=INT(ROUND(INDEX(IngQty,$J$30)*$F$1,3)),TEXT(ROUND(INDEX(IngQty,$J$30)*$F$1,3),"0"),TEXT(ROUND(INDEX(IngQty,$J$30)*$F$1,3),"0.###"))&amp;" "&amp;INDEX(IngUnit,$J$30)))</f>
        <v/>
      </c>
      <c r="C30" s="12">
        <f>IF($J$30="","",INDEX(IngName,$J$30))</f>
        <v/>
      </c>
      <c r="D30" s="13">
        <f>IF($J$30="","",INDEX(IngPrep,$J$30))</f>
        <v/>
      </c>
      <c r="F30" s="14">
        <f>IF($K$30="","",TEXT(10,"00"))</f>
        <v/>
      </c>
      <c r="G30" s="15">
        <f>IF($K$30="","",INDEX(StepTitle,$K$30)&amp;IF(INDEX(StepTime,$K$30)&lt;&gt;""," ("&amp;INDEX(StepTime,$K$30)&amp;")",""))</f>
        <v/>
      </c>
      <c r="J30">
        <f>IFERROR(MATCH($C$1&amp;"|"&amp;19,IngKey,0),"")</f>
        <v/>
      </c>
      <c r="K30">
        <f>IFERROR(MATCH($C$1&amp;"|"&amp;10,StepKey,0),"")</f>
        <v/>
      </c>
    </row>
    <row r="31" ht="26" customHeight="1">
      <c r="B31" s="11">
        <f>IF($J$31="","",IF(INDEX(IngQtyText,$J$31)&lt;&gt;"",INDEX(IngQtyText,$J$31),IF(ROUND(INDEX(IngQty,$J$31)*$F$1,3)=INT(ROUND(INDEX(IngQty,$J$31)*$F$1,3)),TEXT(ROUND(INDEX(IngQty,$J$31)*$F$1,3),"0"),TEXT(ROUND(INDEX(IngQty,$J$31)*$F$1,3),"0.###"))&amp;" "&amp;INDEX(IngUnit,$J$31)))</f>
        <v/>
      </c>
      <c r="C31" s="12">
        <f>IF($J$31="","",INDEX(IngName,$J$31))</f>
        <v/>
      </c>
      <c r="D31" s="13">
        <f>IF($J$31="","",INDEX(IngPrep,$J$31))</f>
        <v/>
      </c>
      <c r="F31" s="16" t="n"/>
      <c r="G31" s="17">
        <f>IF($K$30="","",INDEX(StepDesc,$K$30))</f>
        <v/>
      </c>
      <c r="J31">
        <f>IFERROR(MATCH($C$1&amp;"|"&amp;20,IngKey,0),"")</f>
        <v/>
      </c>
    </row>
    <row r="32" ht="16" customHeight="1">
      <c r="F32" s="14">
        <f>IF($K$32="","",TEXT(11,"00"))</f>
        <v/>
      </c>
      <c r="G32" s="15">
        <f>IF($K$32="","",INDEX(StepTitle,$K$32)&amp;IF(INDEX(StepTime,$K$32)&lt;&gt;""," ("&amp;INDEX(StepTime,$K$32)&amp;")",""))</f>
        <v/>
      </c>
      <c r="K32">
        <f>IFERROR(MATCH($C$1&amp;"|"&amp;11,StepKey,0),"")</f>
        <v/>
      </c>
    </row>
    <row r="33" ht="26" customHeight="1">
      <c r="B33" s="18" t="inlineStr">
        <is>
          <t>CRITICAL STEPS</t>
        </is>
      </c>
      <c r="C33" s="19" t="n"/>
      <c r="D33" s="19" t="n"/>
      <c r="F33" s="16" t="n"/>
      <c r="G33" s="17">
        <f>IF($K$32="","",INDEX(StepDesc,$K$32))</f>
        <v/>
      </c>
    </row>
    <row r="34" ht="22" customHeight="1">
      <c r="B34" s="20">
        <f>IF($L$34="","","!   "&amp;INDEX(CritText,$L$34))</f>
        <v/>
      </c>
      <c r="C34" s="19" t="n"/>
      <c r="D34" s="19" t="n"/>
      <c r="F34" s="14">
        <f>IF($K$34="","",TEXT(12,"00"))</f>
        <v/>
      </c>
      <c r="G34" s="15">
        <f>IF($K$34="","",INDEX(StepTitle,$K$34)&amp;IF(INDEX(StepTime,$K$34)&lt;&gt;""," ("&amp;INDEX(StepTime,$K$34)&amp;")",""))</f>
        <v/>
      </c>
      <c r="K34">
        <f>IFERROR(MATCH($C$1&amp;"|"&amp;12,StepKey,0),"")</f>
        <v/>
      </c>
      <c r="L34">
        <f>IFERROR(MATCH($C$1&amp;"|"&amp;1,CritKey,0),"")</f>
        <v/>
      </c>
    </row>
    <row r="35" ht="22" customHeight="1">
      <c r="B35" s="20">
        <f>IF($L$35="","","!   "&amp;INDEX(CritText,$L$35))</f>
        <v/>
      </c>
      <c r="C35" s="19" t="n"/>
      <c r="D35" s="19" t="n"/>
      <c r="F35" s="16" t="n"/>
      <c r="G35" s="17">
        <f>IF($K$34="","",INDEX(StepDesc,$K$34))</f>
        <v/>
      </c>
      <c r="L35">
        <f>IFERROR(MATCH($C$1&amp;"|"&amp;2,CritKey,0),"")</f>
        <v/>
      </c>
    </row>
    <row r="36" ht="22" customHeight="1">
      <c r="B36" s="20">
        <f>IF($L$36="","","!   "&amp;INDEX(CritText,$L$36))</f>
        <v/>
      </c>
      <c r="C36" s="19" t="n"/>
      <c r="D36" s="19" t="n"/>
      <c r="F36" s="14">
        <f>IF($K$36="","",TEXT(13,"00"))</f>
        <v/>
      </c>
      <c r="G36" s="15">
        <f>IF($K$36="","",INDEX(StepTitle,$K$36)&amp;IF(INDEX(StepTime,$K$36)&lt;&gt;""," ("&amp;INDEX(StepTime,$K$36)&amp;")",""))</f>
        <v/>
      </c>
      <c r="K36">
        <f>IFERROR(MATCH($C$1&amp;"|"&amp;13,StepKey,0),"")</f>
        <v/>
      </c>
      <c r="L36">
        <f>IFERROR(MATCH($C$1&amp;"|"&amp;3,CritKey,0),"")</f>
        <v/>
      </c>
    </row>
    <row r="37" ht="22" customHeight="1">
      <c r="B37" s="20">
        <f>IF($L$37="","","!   "&amp;INDEX(CritText,$L$37))</f>
        <v/>
      </c>
      <c r="C37" s="19" t="n"/>
      <c r="D37" s="19" t="n"/>
      <c r="F37" s="16" t="n"/>
      <c r="G37" s="17">
        <f>IF($K$36="","",INDEX(StepDesc,$K$36))</f>
        <v/>
      </c>
      <c r="L37">
        <f>IFERROR(MATCH($C$1&amp;"|"&amp;4,CritKey,0),"")</f>
        <v/>
      </c>
    </row>
    <row r="38" ht="22" customHeight="1">
      <c r="B38" s="20">
        <f>IF($L$38="","","!   "&amp;INDEX(CritText,$L$38))</f>
        <v/>
      </c>
      <c r="C38" s="19" t="n"/>
      <c r="D38" s="19" t="n"/>
      <c r="F38" s="14">
        <f>IF($K$38="","",TEXT(14,"00"))</f>
        <v/>
      </c>
      <c r="G38" s="15">
        <f>IF($K$38="","",INDEX(StepTitle,$K$38)&amp;IF(INDEX(StepTime,$K$38)&lt;&gt;""," ("&amp;INDEX(StepTime,$K$38)&amp;")",""))</f>
        <v/>
      </c>
      <c r="K38">
        <f>IFERROR(MATCH($C$1&amp;"|"&amp;14,StepKey,0),"")</f>
        <v/>
      </c>
      <c r="L38">
        <f>IFERROR(MATCH($C$1&amp;"|"&amp;5,CritKey,0),"")</f>
        <v/>
      </c>
    </row>
    <row r="39" ht="22" customHeight="1">
      <c r="B39" s="20">
        <f>IF($L$39="","","!   "&amp;INDEX(CritText,$L$39))</f>
        <v/>
      </c>
      <c r="C39" s="19" t="n"/>
      <c r="D39" s="19" t="n"/>
      <c r="F39" s="16" t="n"/>
      <c r="G39" s="17">
        <f>IF($K$38="","",INDEX(StepDesc,$K$38))</f>
        <v/>
      </c>
      <c r="L39">
        <f>IFERROR(MATCH($C$1&amp;"|"&amp;6,CritKey,0),"")</f>
        <v/>
      </c>
    </row>
    <row r="40" ht="16" customHeight="1">
      <c r="F40" s="14">
        <f>IF($K$40="","",TEXT(15,"00"))</f>
        <v/>
      </c>
      <c r="G40" s="15">
        <f>IF($K$40="","",INDEX(StepTitle,$K$40)&amp;IF(INDEX(StepTime,$K$40)&lt;&gt;""," ("&amp;INDEX(StepTime,$K$40)&amp;")",""))</f>
        <v/>
      </c>
      <c r="K40">
        <f>IFERROR(MATCH($C$1&amp;"|"&amp;15,StepKey,0),"")</f>
        <v/>
      </c>
    </row>
    <row r="41" ht="26" customHeight="1">
      <c r="B41" s="21" t="inlineStr">
        <is>
          <t>STORAGE &amp; HANDLING</t>
        </is>
      </c>
      <c r="C41" s="22" t="n"/>
      <c r="D41" s="22" t="n"/>
      <c r="F41" s="16" t="n"/>
      <c r="G41" s="17">
        <f>IF($K$40="","",INDEX(StepDesc,$K$40))</f>
        <v/>
      </c>
    </row>
    <row r="42" ht="16" customHeight="1">
      <c r="B42" s="23">
        <f>IFERROR(INDEX(RecStorage,$J$1),"")</f>
        <v/>
      </c>
      <c r="F42" s="14">
        <f>IF($K$42="","",TEXT(16,"00"))</f>
        <v/>
      </c>
      <c r="G42" s="15">
        <f>IF($K$42="","",INDEX(StepTitle,$K$42)&amp;IF(INDEX(StepTime,$K$42)&lt;&gt;""," ("&amp;INDEX(StepTime,$K$42)&amp;")",""))</f>
        <v/>
      </c>
      <c r="K42">
        <f>IFERROR(MATCH($C$1&amp;"|"&amp;16,StepKey,0),"")</f>
        <v/>
      </c>
    </row>
    <row r="43" ht="26" customHeight="1">
      <c r="F43" s="16" t="n"/>
      <c r="G43" s="17">
        <f>IF($K$42="","",INDEX(StepDesc,$K$42))</f>
        <v/>
      </c>
    </row>
    <row r="44"/>
    <row r="46">
      <c r="B46" s="26" t="inlineStr">
        <is>
          <t>COSTING</t>
        </is>
      </c>
      <c r="C46" s="27" t="n"/>
      <c r="D46" s="27" t="n"/>
    </row>
    <row r="47">
      <c r="B47" s="28" t="inlineStr">
        <is>
          <t>Plate cost / yield unit</t>
        </is>
      </c>
      <c r="D47" s="29">
        <f>IFERROR(SUMIF(IngRecipe,$C$1,IngLineCost)/INDEX(RecYieldQty,$J$1),"")</f>
        <v/>
      </c>
    </row>
    <row r="48">
      <c r="B48" s="28" t="inlineStr">
        <is>
          <t>Food cost %</t>
        </is>
      </c>
      <c r="D48" s="30">
        <f>IFERROR(SUMIF(IngRecipe,$C$1,IngLineCost)/INDEX(RecYieldQty,$J$1)/INDEX(RecMenu,$J$1),"")</f>
        <v/>
      </c>
    </row>
    <row r="49">
      <c r="B49" s="28" t="inlineStr">
        <is>
          <t>Batch cost (× scale)</t>
        </is>
      </c>
      <c r="D49" s="29">
        <f>IFERROR(SUMIF(IngRecipe,$C$1,IngLineCost)*$F$1,"")</f>
        <v/>
      </c>
    </row>
    <row r="50">
      <c r="B50" s="9" t="n"/>
      <c r="C50" s="9" t="n"/>
      <c r="D50" s="9" t="n"/>
      <c r="E50" s="9" t="n"/>
      <c r="F50" s="9" t="n"/>
      <c r="G50" s="9" t="n"/>
    </row>
    <row r="51">
      <c r="B51" s="24" t="inlineStr">
        <is>
          <t>FOXTOWN BREWING · KITCHEN BUILD CARD</t>
        </is>
      </c>
      <c r="G51" s="25">
        <f>IF($J$1="","",UPPER(INDEX(RecCategory,$J$1)))</f>
        <v/>
      </c>
    </row>
  </sheetData>
  <mergeCells count="17">
    <mergeCell ref="D8:E8"/>
    <mergeCell ref="F2:G2"/>
    <mergeCell ref="B47:C47"/>
    <mergeCell ref="B5:D5"/>
    <mergeCell ref="B36:D36"/>
    <mergeCell ref="D7:E7"/>
    <mergeCell ref="B34:D34"/>
    <mergeCell ref="B37:D37"/>
    <mergeCell ref="B42:D44"/>
    <mergeCell ref="B48:C48"/>
    <mergeCell ref="B35:D35"/>
    <mergeCell ref="B3:D4"/>
    <mergeCell ref="B39:D39"/>
    <mergeCell ref="B49:C49"/>
    <mergeCell ref="B38:D38"/>
    <mergeCell ref="F7:G7"/>
    <mergeCell ref="F8:G8"/>
  </mergeCells>
  <conditionalFormatting sqref="B12:D31">
    <cfRule type="expression" priority="1" dxfId="0">
      <formula>AND($C12&lt;&gt;"",MOD(ROW(),2)=0)</formula>
    </cfRule>
  </conditionalFormatting>
  <dataValidations count="1">
    <dataValidation sqref="C1" showDropDown="0" showInputMessage="0" showErrorMessage="0" allowBlank="1" type="list">
      <formula1>RecNameList</formula1>
    </dataValidation>
  </dataValidations>
  <pageMargins left="0.4" right="0.4" top="0.4" bottom="0.4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  <col width="16" customWidth="1" min="8" max="8"/>
    <col width="20" customWidth="1" min="9" max="9"/>
    <col width="46" customWidth="1" min="10" max="10"/>
    <col width="11" customWidth="1" min="11" max="11"/>
  </cols>
  <sheetData>
    <row r="1" ht="20" customHeight="1">
      <c r="A1" s="31" t="inlineStr">
        <is>
          <t>Name</t>
        </is>
      </c>
      <c r="B1" s="31" t="inlineStr">
        <is>
          <t>Descriptor</t>
        </is>
      </c>
      <c r="C1" s="31" t="inlineStr">
        <is>
          <t>Station</t>
        </is>
      </c>
      <c r="D1" s="31" t="inlineStr">
        <is>
          <t>Category</t>
        </is>
      </c>
      <c r="E1" s="31" t="inlineStr">
        <is>
          <t>YieldQty</t>
        </is>
      </c>
      <c r="F1" s="31" t="inlineStr">
        <is>
          <t>YieldUnit</t>
        </is>
      </c>
      <c r="G1" s="31" t="inlineStr">
        <is>
          <t>PrepTime</t>
        </is>
      </c>
      <c r="H1" s="31" t="inlineStr">
        <is>
          <t>ShelfLife</t>
        </is>
      </c>
      <c r="I1" s="31" t="inlineStr">
        <is>
          <t>Equipment</t>
        </is>
      </c>
      <c r="J1" s="31" t="inlineStr">
        <is>
          <t>Storage &amp; Handling</t>
        </is>
      </c>
      <c r="K1" s="31" t="inlineStr">
        <is>
          <t>MenuPrice</t>
        </is>
      </c>
    </row>
    <row r="2">
      <c r="A2" t="inlineStr">
        <is>
          <t>House Potato Chips</t>
        </is>
      </c>
      <c r="B2" t="inlineStr">
        <is>
          <t>Crisp kettle-style chips, brined &amp; fried to order</t>
        </is>
      </c>
      <c r="C2" t="inlineStr">
        <is>
          <t>Fry</t>
        </is>
      </c>
      <c r="D2" t="inlineStr">
        <is>
          <t>Sides</t>
        </is>
      </c>
      <c r="E2" t="n">
        <v>4</v>
      </c>
      <c r="F2" t="inlineStr">
        <is>
          <t>lb</t>
        </is>
      </c>
      <c r="G2" t="inlineStr">
        <is>
          <t>~75 min</t>
        </is>
      </c>
      <c r="H2" t="inlineStr">
        <is>
          <t>Serve fresh</t>
        </is>
      </c>
      <c r="I2" t="inlineStr">
        <is>
          <t>Mandoline, Fryer</t>
        </is>
      </c>
      <c r="J2" t="inlineStr">
        <is>
          <t>Best served immediately. Hold fully cooled chips in an airtight container at room temp, lined with towel. Do not refrigerate. Re-crisp in fryer if needed.</t>
        </is>
      </c>
      <c r="K2" t="n">
        <v>7</v>
      </c>
    </row>
    <row r="3">
      <c r="A3" t="inlineStr">
        <is>
          <t>Spaghetti Carbonara</t>
        </is>
      </c>
      <c r="B3" t="inlineStr">
        <is>
          <t>Roman pasta — egg &amp; pecorino emulsion, black pepper</t>
        </is>
      </c>
      <c r="C3" t="inlineStr">
        <is>
          <t>Pasta</t>
        </is>
      </c>
      <c r="D3" t="inlineStr">
        <is>
          <t>Entree</t>
        </is>
      </c>
      <c r="E3" t="n">
        <v>4</v>
      </c>
      <c r="F3" t="inlineStr">
        <is>
          <t>servings</t>
        </is>
      </c>
      <c r="G3" t="inlineStr">
        <is>
          <t>~20 min</t>
        </is>
      </c>
      <c r="H3" t="inlineStr">
        <is>
          <t>Serve immediately</t>
        </is>
      </c>
      <c r="I3" t="inlineStr">
        <is>
          <t>Pasta pot, saute pan</t>
        </is>
      </c>
      <c r="J3" t="inlineStr">
        <is>
          <t>Serve immediately; carbonara does not hold. Hold mise (cheese/egg mix) covered, refrigerated, up to 2 days.</t>
        </is>
      </c>
      <c r="K3" t="n">
        <v>19</v>
      </c>
    </row>
    <row r="4">
      <c r="A4" t="inlineStr">
        <is>
          <t>Classic Smash Burger</t>
        </is>
      </c>
      <c r="B4" t="inlineStr">
        <is>
          <t>Smashed 4oz patty, American, griddle onions, soft bun</t>
        </is>
      </c>
      <c r="C4" t="inlineStr">
        <is>
          <t>Grill</t>
        </is>
      </c>
      <c r="D4" t="inlineStr">
        <is>
          <t>Entree</t>
        </is>
      </c>
      <c r="E4" t="n">
        <v>1</v>
      </c>
      <c r="F4" t="inlineStr">
        <is>
          <t>servings</t>
        </is>
      </c>
      <c r="G4" t="inlineStr">
        <is>
          <t>~12 min</t>
        </is>
      </c>
      <c r="H4" t="inlineStr">
        <is>
          <t>Serve immediately</t>
        </is>
      </c>
      <c r="I4" t="inlineStr">
        <is>
          <t>Flat-top, press</t>
        </is>
      </c>
      <c r="J4" t="inlineStr">
        <is>
          <t>Build to order. Pre-portion 4oz beef balls, refrigerated, use within 1 day.</t>
        </is>
      </c>
      <c r="K4" t="n">
        <v>14</v>
      </c>
    </row>
    <row r="5">
      <c r="A5" t="inlineStr">
        <is>
          <t>Pan-Seared Salmon</t>
        </is>
      </c>
      <c r="B5" t="inlineStr">
        <is>
          <t>Crisp-skin salmon, butter-basted, finished with lemon</t>
        </is>
      </c>
      <c r="C5" t="inlineStr">
        <is>
          <t>Saute</t>
        </is>
      </c>
      <c r="D5" t="inlineStr">
        <is>
          <t>Entree</t>
        </is>
      </c>
      <c r="E5" t="n">
        <v>1</v>
      </c>
      <c r="F5" t="inlineStr">
        <is>
          <t>servings</t>
        </is>
      </c>
      <c r="G5" t="inlineStr">
        <is>
          <t>~15 min</t>
        </is>
      </c>
      <c r="H5" t="inlineStr">
        <is>
          <t>Serve immediately</t>
        </is>
      </c>
      <c r="I5" t="inlineStr">
        <is>
          <t>Saute pan, fish spatula</t>
        </is>
      </c>
      <c r="J5" t="inlineStr">
        <is>
          <t>Cook to order. Hold portioned fillets on ice, use within 1 day.</t>
        </is>
      </c>
      <c r="K5" t="n">
        <v>28</v>
      </c>
    </row>
    <row r="6">
      <c r="A6" t="inlineStr">
        <is>
          <t>Caesar Salad</t>
        </is>
      </c>
      <c r="B6" t="inlineStr">
        <is>
          <t>Chopped romaine, parmesan, house dressing, croutons</t>
        </is>
      </c>
      <c r="C6" t="inlineStr">
        <is>
          <t>Garde Manger</t>
        </is>
      </c>
      <c r="D6" t="inlineStr">
        <is>
          <t>Starter</t>
        </is>
      </c>
      <c r="E6" t="n">
        <v>1</v>
      </c>
      <c r="F6" t="inlineStr">
        <is>
          <t>servings</t>
        </is>
      </c>
      <c r="G6" t="inlineStr">
        <is>
          <t>~8 min</t>
        </is>
      </c>
      <c r="H6" t="inlineStr">
        <is>
          <t>Serve immediately</t>
        </is>
      </c>
      <c r="I6" t="inlineStr">
        <is>
          <t>Mixing bowl, tongs</t>
        </is>
      </c>
      <c r="J6" t="inlineStr">
        <is>
          <t>Hold dressing refrigerated up to 5 days. Dress to order so leaves stay crisp.</t>
        </is>
      </c>
      <c r="K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24" customWidth="1" min="5" max="5"/>
    <col width="18" customWidth="1" min="6" max="6"/>
    <col width="10" customWidth="1" min="7" max="7"/>
    <col width="10" customWidth="1" min="8" max="8"/>
    <col hidden="1" width="8" customWidth="1" min="9" max="9"/>
    <col hidden="1" width="22" customWidth="1" min="10" max="10"/>
    <col hidden="1" width="8" customWidth="1" min="11" max="11"/>
    <col hidden="1" width="8" customWidth="1" min="12" max="12"/>
    <col hidden="1" width="9" customWidth="1" min="13" max="13"/>
    <col hidden="1" width="9" customWidth="1" min="14" max="14"/>
    <col hidden="1" width="9" customWidth="1" min="15" max="15"/>
    <col hidden="1" width="9" customWidth="1" min="16" max="16"/>
  </cols>
  <sheetData>
    <row r="1" ht="20" customHeight="1">
      <c r="A1" s="31" t="inlineStr">
        <is>
          <t>Recipe</t>
        </is>
      </c>
      <c r="B1" s="31" t="inlineStr">
        <is>
          <t>Qty</t>
        </is>
      </c>
      <c r="C1" s="31" t="inlineStr">
        <is>
          <t>QtyText</t>
        </is>
      </c>
      <c r="D1" s="31" t="inlineStr">
        <is>
          <t>Unit</t>
        </is>
      </c>
      <c r="E1" s="31" t="inlineStr">
        <is>
          <t>Ingredient</t>
        </is>
      </c>
      <c r="F1" s="31" t="inlineStr">
        <is>
          <t>Prep</t>
        </is>
      </c>
      <c r="G1" s="31" t="inlineStr">
        <is>
          <t>UnitCost</t>
        </is>
      </c>
      <c r="H1" s="31" t="inlineStr">
        <is>
          <t>CostUnit</t>
        </is>
      </c>
      <c r="I1" s="31" t="inlineStr">
        <is>
          <t>Seq</t>
        </is>
      </c>
      <c r="J1" s="31" t="inlineStr">
        <is>
          <t>Key</t>
        </is>
      </c>
      <c r="K1" s="31" t="inlineStr">
        <is>
          <t>FromF</t>
        </is>
      </c>
      <c r="L1" s="31" t="inlineStr">
        <is>
          <t>ToF</t>
        </is>
      </c>
      <c r="M1" s="31" t="inlineStr">
        <is>
          <t>FromFam</t>
        </is>
      </c>
      <c r="N1" s="31" t="inlineStr">
        <is>
          <t>ToFam</t>
        </is>
      </c>
      <c r="O1" s="31" t="inlineStr">
        <is>
          <t>ConvQty</t>
        </is>
      </c>
      <c r="P1" s="31" t="inlineStr">
        <is>
          <t>LineCost</t>
        </is>
      </c>
    </row>
    <row r="2">
      <c r="A2" t="inlineStr">
        <is>
          <t>House Potato Chips</t>
        </is>
      </c>
      <c r="B2" t="n">
        <v>10</v>
      </c>
      <c r="C2" t="inlineStr"/>
      <c r="D2" t="inlineStr">
        <is>
          <t>lb</t>
        </is>
      </c>
      <c r="E2" t="inlineStr">
        <is>
          <t>Idaho Potato, 60ct</t>
        </is>
      </c>
      <c r="F2" t="inlineStr">
        <is>
          <t>skin on</t>
        </is>
      </c>
      <c r="G2" t="n">
        <v>0.78</v>
      </c>
      <c r="H2" t="inlineStr">
        <is>
          <t>lb</t>
        </is>
      </c>
      <c r="I2">
        <f>IF($A2="","",COUNTIF($A$2:$A2,$A2))</f>
        <v/>
      </c>
      <c r="J2">
        <f>IF($A2="","",$A2&amp;"|"&amp;$I2)</f>
        <v/>
      </c>
      <c r="K2">
        <f>IF($D2="","",IFERROR(VLOOKUP(LOWER($D2),UnitsTable,3,0),""))</f>
        <v/>
      </c>
      <c r="L2">
        <f>IF($H2="","",IFERROR(VLOOKUP(LOWER($H2),UnitsTable,3,0),""))</f>
        <v/>
      </c>
      <c r="M2">
        <f>IF($D2="","",IFERROR(VLOOKUP(LOWER($D2),UnitsTable,2,0),""))</f>
        <v/>
      </c>
      <c r="N2">
        <f>IF($H2="","",IFERROR(VLOOKUP(LOWER($H2),UnitsTable,2,0),""))</f>
        <v/>
      </c>
      <c r="O2">
        <f>IF($B2="","",IF($D2=$H2,$B2,IF(AND($K2&lt;&gt;"",$L2&lt;&gt;"",$M2=$N2),$B2*$K2/$L2,$B2)))</f>
        <v/>
      </c>
      <c r="P2">
        <f>IF(OR($B2="",$G2=""),0,$O2*$G2)</f>
        <v/>
      </c>
    </row>
    <row r="3">
      <c r="A3" t="inlineStr">
        <is>
          <t>House Potato Chips</t>
        </is>
      </c>
      <c r="B3" t="n">
        <v>1</v>
      </c>
      <c r="C3" t="inlineStr"/>
      <c r="D3" t="inlineStr">
        <is>
          <t>gallon</t>
        </is>
      </c>
      <c r="E3" t="inlineStr">
        <is>
          <t>Water</t>
        </is>
      </c>
      <c r="F3" t="inlineStr">
        <is>
          <t>cold</t>
        </is>
      </c>
      <c r="G3" t="n">
        <v>0</v>
      </c>
      <c r="H3" t="inlineStr">
        <is>
          <t>gallon</t>
        </is>
      </c>
      <c r="I3">
        <f>IF($A3="","",COUNTIF($A$2:$A3,$A3))</f>
        <v/>
      </c>
      <c r="J3">
        <f>IF($A3="","",$A3&amp;"|"&amp;$I3)</f>
        <v/>
      </c>
      <c r="K3">
        <f>IF($D3="","",IFERROR(VLOOKUP(LOWER($D3),UnitsTable,3,0),""))</f>
        <v/>
      </c>
      <c r="L3">
        <f>IF($H3="","",IFERROR(VLOOKUP(LOWER($H3),UnitsTable,3,0),""))</f>
        <v/>
      </c>
      <c r="M3">
        <f>IF($D3="","",IFERROR(VLOOKUP(LOWER($D3),UnitsTable,2,0),""))</f>
        <v/>
      </c>
      <c r="N3">
        <f>IF($H3="","",IFERROR(VLOOKUP(LOWER($H3),UnitsTable,2,0),""))</f>
        <v/>
      </c>
      <c r="O3">
        <f>IF($B3="","",IF($D3=$H3,$B3,IF(AND($K3&lt;&gt;"",$L3&lt;&gt;"",$M3=$N3),$B3*$K3/$L3,$B3)))</f>
        <v/>
      </c>
      <c r="P3">
        <f>IF(OR($B3="",$G3=""),0,$O3*$G3)</f>
        <v/>
      </c>
    </row>
    <row r="4">
      <c r="A4" t="inlineStr">
        <is>
          <t>House Potato Chips</t>
        </is>
      </c>
      <c r="B4" t="n">
        <v>2</v>
      </c>
      <c r="C4" t="inlineStr"/>
      <c r="D4" t="inlineStr">
        <is>
          <t>oz</t>
        </is>
      </c>
      <c r="E4" t="inlineStr">
        <is>
          <t>Kosher Salt</t>
        </is>
      </c>
      <c r="F4" t="inlineStr">
        <is>
          <t>for brine</t>
        </is>
      </c>
      <c r="G4" t="n">
        <v>0.8</v>
      </c>
      <c r="H4" t="inlineStr">
        <is>
          <t>lb</t>
        </is>
      </c>
      <c r="I4">
        <f>IF($A4="","",COUNTIF($A$2:$A4,$A4))</f>
        <v/>
      </c>
      <c r="J4">
        <f>IF($A4="","",$A4&amp;"|"&amp;$I4)</f>
        <v/>
      </c>
      <c r="K4">
        <f>IF($D4="","",IFERROR(VLOOKUP(LOWER($D4),UnitsTable,3,0),""))</f>
        <v/>
      </c>
      <c r="L4">
        <f>IF($H4="","",IFERROR(VLOOKUP(LOWER($H4),UnitsTable,3,0),""))</f>
        <v/>
      </c>
      <c r="M4">
        <f>IF($D4="","",IFERROR(VLOOKUP(LOWER($D4),UnitsTable,2,0),""))</f>
        <v/>
      </c>
      <c r="N4">
        <f>IF($H4="","",IFERROR(VLOOKUP(LOWER($H4),UnitsTable,2,0),""))</f>
        <v/>
      </c>
      <c r="O4">
        <f>IF($B4="","",IF($D4=$H4,$B4,IF(AND($K4&lt;&gt;"",$L4&lt;&gt;"",$M4=$N4),$B4*$K4/$L4,$B4)))</f>
        <v/>
      </c>
      <c r="P4">
        <f>IF(OR($B4="",$G4=""),0,$O4*$G4)</f>
        <v/>
      </c>
    </row>
    <row r="5">
      <c r="A5" t="inlineStr">
        <is>
          <t>House Potato Chips</t>
        </is>
      </c>
      <c r="B5" t="n">
        <v>2</v>
      </c>
      <c r="C5" t="inlineStr"/>
      <c r="D5" t="inlineStr">
        <is>
          <t>fl oz</t>
        </is>
      </c>
      <c r="E5" t="inlineStr">
        <is>
          <t>White Wine Vinegar</t>
        </is>
      </c>
      <c r="F5" t="inlineStr">
        <is>
          <t>—</t>
        </is>
      </c>
      <c r="G5" t="n">
        <v>4.5</v>
      </c>
      <c r="H5" t="inlineStr">
        <is>
          <t>L</t>
        </is>
      </c>
      <c r="I5">
        <f>IF($A5="","",COUNTIF($A$2:$A5,$A5))</f>
        <v/>
      </c>
      <c r="J5">
        <f>IF($A5="","",$A5&amp;"|"&amp;$I5)</f>
        <v/>
      </c>
      <c r="K5">
        <f>IF($D5="","",IFERROR(VLOOKUP(LOWER($D5),UnitsTable,3,0),""))</f>
        <v/>
      </c>
      <c r="L5">
        <f>IF($H5="","",IFERROR(VLOOKUP(LOWER($H5),UnitsTable,3,0),""))</f>
        <v/>
      </c>
      <c r="M5">
        <f>IF($D5="","",IFERROR(VLOOKUP(LOWER($D5),UnitsTable,2,0),""))</f>
        <v/>
      </c>
      <c r="N5">
        <f>IF($H5="","",IFERROR(VLOOKUP(LOWER($H5),UnitsTable,2,0),""))</f>
        <v/>
      </c>
      <c r="O5">
        <f>IF($B5="","",IF($D5=$H5,$B5,IF(AND($K5&lt;&gt;"",$L5&lt;&gt;"",$M5=$N5),$B5*$K5/$L5,$B5)))</f>
        <v/>
      </c>
      <c r="P5">
        <f>IF(OR($B5="",$G5=""),0,$O5*$G5)</f>
        <v/>
      </c>
    </row>
    <row r="6">
      <c r="A6" t="inlineStr">
        <is>
          <t>House Potato Chips</t>
        </is>
      </c>
      <c r="C6" t="inlineStr">
        <is>
          <t>TT</t>
        </is>
      </c>
      <c r="D6" t="inlineStr"/>
      <c r="E6" t="inlineStr">
        <is>
          <t>Kosher Salt</t>
        </is>
      </c>
      <c r="F6" t="inlineStr">
        <is>
          <t>to season, hot</t>
        </is>
      </c>
      <c r="G6" t="n">
        <v>0.8</v>
      </c>
      <c r="H6" t="inlineStr">
        <is>
          <t>lb</t>
        </is>
      </c>
      <c r="I6">
        <f>IF($A6="","",COUNTIF($A$2:$A6,$A6))</f>
        <v/>
      </c>
      <c r="J6">
        <f>IF($A6="","",$A6&amp;"|"&amp;$I6)</f>
        <v/>
      </c>
      <c r="K6">
        <f>IF($D6="","",IFERROR(VLOOKUP(LOWER($D6),UnitsTable,3,0),""))</f>
        <v/>
      </c>
      <c r="L6">
        <f>IF($H6="","",IFERROR(VLOOKUP(LOWER($H6),UnitsTable,3,0),""))</f>
        <v/>
      </c>
      <c r="M6">
        <f>IF($D6="","",IFERROR(VLOOKUP(LOWER($D6),UnitsTable,2,0),""))</f>
        <v/>
      </c>
      <c r="N6">
        <f>IF($H6="","",IFERROR(VLOOKUP(LOWER($H6),UnitsTable,2,0),""))</f>
        <v/>
      </c>
      <c r="O6">
        <f>IF($B6="","",IF($D6=$H6,$B6,IF(AND($K6&lt;&gt;"",$L6&lt;&gt;"",$M6=$N6),$B6*$K6/$L6,$B6)))</f>
        <v/>
      </c>
      <c r="P6">
        <f>IF(OR($B6="",$G6=""),0,$O6*$G6)</f>
        <v/>
      </c>
    </row>
    <row r="7">
      <c r="A7" t="inlineStr">
        <is>
          <t>Spaghetti Carbonara</t>
        </is>
      </c>
      <c r="B7" t="n">
        <v>1</v>
      </c>
      <c r="C7" t="inlineStr"/>
      <c r="D7" t="inlineStr">
        <is>
          <t>lb</t>
        </is>
      </c>
      <c r="E7" t="inlineStr">
        <is>
          <t>Pasta, spaghetti</t>
        </is>
      </c>
      <c r="F7" t="inlineStr">
        <is>
          <t>dry</t>
        </is>
      </c>
      <c r="G7" t="n">
        <v>1.1</v>
      </c>
      <c r="H7" t="inlineStr">
        <is>
          <t>lb</t>
        </is>
      </c>
      <c r="I7">
        <f>IF($A7="","",COUNTIF($A$2:$A7,$A7))</f>
        <v/>
      </c>
      <c r="J7">
        <f>IF($A7="","",$A7&amp;"|"&amp;$I7)</f>
        <v/>
      </c>
      <c r="K7">
        <f>IF($D7="","",IFERROR(VLOOKUP(LOWER($D7),UnitsTable,3,0),""))</f>
        <v/>
      </c>
      <c r="L7">
        <f>IF($H7="","",IFERROR(VLOOKUP(LOWER($H7),UnitsTable,3,0),""))</f>
        <v/>
      </c>
      <c r="M7">
        <f>IF($D7="","",IFERROR(VLOOKUP(LOWER($D7),UnitsTable,2,0),""))</f>
        <v/>
      </c>
      <c r="N7">
        <f>IF($H7="","",IFERROR(VLOOKUP(LOWER($H7),UnitsTable,2,0),""))</f>
        <v/>
      </c>
      <c r="O7">
        <f>IF($B7="","",IF($D7=$H7,$B7,IF(AND($K7&lt;&gt;"",$L7&lt;&gt;"",$M7=$N7),$B7*$K7/$L7,$B7)))</f>
        <v/>
      </c>
      <c r="P7">
        <f>IF(OR($B7="",$G7=""),0,$O7*$G7)</f>
        <v/>
      </c>
    </row>
    <row r="8">
      <c r="A8" t="inlineStr">
        <is>
          <t>Spaghetti Carbonara</t>
        </is>
      </c>
      <c r="B8" t="n">
        <v>0.33</v>
      </c>
      <c r="C8" t="inlineStr"/>
      <c r="D8" t="inlineStr">
        <is>
          <t>dozen</t>
        </is>
      </c>
      <c r="E8" t="inlineStr">
        <is>
          <t>Eggs, large</t>
        </is>
      </c>
      <c r="F8" t="inlineStr">
        <is>
          <t>yolks + 2 whole</t>
        </is>
      </c>
      <c r="G8" t="n">
        <v>3.1</v>
      </c>
      <c r="H8" t="inlineStr">
        <is>
          <t>dozen</t>
        </is>
      </c>
      <c r="I8">
        <f>IF($A8="","",COUNTIF($A$2:$A8,$A8))</f>
        <v/>
      </c>
      <c r="J8">
        <f>IF($A8="","",$A8&amp;"|"&amp;$I8)</f>
        <v/>
      </c>
      <c r="K8">
        <f>IF($D8="","",IFERROR(VLOOKUP(LOWER($D8),UnitsTable,3,0),""))</f>
        <v/>
      </c>
      <c r="L8">
        <f>IF($H8="","",IFERROR(VLOOKUP(LOWER($H8),UnitsTable,3,0),""))</f>
        <v/>
      </c>
      <c r="M8">
        <f>IF($D8="","",IFERROR(VLOOKUP(LOWER($D8),UnitsTable,2,0),""))</f>
        <v/>
      </c>
      <c r="N8">
        <f>IF($H8="","",IFERROR(VLOOKUP(LOWER($H8),UnitsTable,2,0),""))</f>
        <v/>
      </c>
      <c r="O8">
        <f>IF($B8="","",IF($D8=$H8,$B8,IF(AND($K8&lt;&gt;"",$L8&lt;&gt;"",$M8=$N8),$B8*$K8/$L8,$B8)))</f>
        <v/>
      </c>
      <c r="P8">
        <f>IF(OR($B8="",$G8=""),0,$O8*$G8)</f>
        <v/>
      </c>
    </row>
    <row r="9">
      <c r="A9" t="inlineStr">
        <is>
          <t>Spaghetti Carbonara</t>
        </is>
      </c>
      <c r="B9" t="n">
        <v>0.25</v>
      </c>
      <c r="C9" t="inlineStr"/>
      <c r="D9" t="inlineStr">
        <is>
          <t>lb</t>
        </is>
      </c>
      <c r="E9" t="inlineStr">
        <is>
          <t>Parmesan, grated</t>
        </is>
      </c>
      <c r="F9" t="inlineStr">
        <is>
          <t>fine</t>
        </is>
      </c>
      <c r="G9" t="n">
        <v>8.5</v>
      </c>
      <c r="H9" t="inlineStr">
        <is>
          <t>lb</t>
        </is>
      </c>
      <c r="I9">
        <f>IF($A9="","",COUNTIF($A$2:$A9,$A9))</f>
        <v/>
      </c>
      <c r="J9">
        <f>IF($A9="","",$A9&amp;"|"&amp;$I9)</f>
        <v/>
      </c>
      <c r="K9">
        <f>IF($D9="","",IFERROR(VLOOKUP(LOWER($D9),UnitsTable,3,0),""))</f>
        <v/>
      </c>
      <c r="L9">
        <f>IF($H9="","",IFERROR(VLOOKUP(LOWER($H9),UnitsTable,3,0),""))</f>
        <v/>
      </c>
      <c r="M9">
        <f>IF($D9="","",IFERROR(VLOOKUP(LOWER($D9),UnitsTable,2,0),""))</f>
        <v/>
      </c>
      <c r="N9">
        <f>IF($H9="","",IFERROR(VLOOKUP(LOWER($H9),UnitsTable,2,0),""))</f>
        <v/>
      </c>
      <c r="O9">
        <f>IF($B9="","",IF($D9=$H9,$B9,IF(AND($K9&lt;&gt;"",$L9&lt;&gt;"",$M9=$N9),$B9*$K9/$L9,$B9)))</f>
        <v/>
      </c>
      <c r="P9">
        <f>IF(OR($B9="",$G9=""),0,$O9*$G9)</f>
        <v/>
      </c>
    </row>
    <row r="10">
      <c r="A10" t="inlineStr">
        <is>
          <t>Spaghetti Carbonara</t>
        </is>
      </c>
      <c r="B10" t="n">
        <v>0.02</v>
      </c>
      <c r="C10" t="inlineStr"/>
      <c r="D10" t="inlineStr">
        <is>
          <t>lb</t>
        </is>
      </c>
      <c r="E10" t="inlineStr">
        <is>
          <t>Black Pepper, ground</t>
        </is>
      </c>
      <c r="F10" t="inlineStr">
        <is>
          <t>fresh cracked</t>
        </is>
      </c>
      <c r="G10" t="n">
        <v>7</v>
      </c>
      <c r="H10" t="inlineStr">
        <is>
          <t>lb</t>
        </is>
      </c>
      <c r="I10">
        <f>IF($A10="","",COUNTIF($A$2:$A10,$A10))</f>
        <v/>
      </c>
      <c r="J10">
        <f>IF($A10="","",$A10&amp;"|"&amp;$I10)</f>
        <v/>
      </c>
      <c r="K10">
        <f>IF($D10="","",IFERROR(VLOOKUP(LOWER($D10),UnitsTable,3,0),""))</f>
        <v/>
      </c>
      <c r="L10">
        <f>IF($H10="","",IFERROR(VLOOKUP(LOWER($H10),UnitsTable,3,0),""))</f>
        <v/>
      </c>
      <c r="M10">
        <f>IF($D10="","",IFERROR(VLOOKUP(LOWER($D10),UnitsTable,2,0),""))</f>
        <v/>
      </c>
      <c r="N10">
        <f>IF($H10="","",IFERROR(VLOOKUP(LOWER($H10),UnitsTable,2,0),""))</f>
        <v/>
      </c>
      <c r="O10">
        <f>IF($B10="","",IF($D10=$H10,$B10,IF(AND($K10&lt;&gt;"",$L10&lt;&gt;"",$M10=$N10),$B10*$K10/$L10,$B10)))</f>
        <v/>
      </c>
      <c r="P10">
        <f>IF(OR($B10="",$G10=""),0,$O10*$G10)</f>
        <v/>
      </c>
    </row>
    <row r="11">
      <c r="A11" t="inlineStr">
        <is>
          <t>Spaghetti Carbonara</t>
        </is>
      </c>
      <c r="C11" t="inlineStr">
        <is>
          <t>TT</t>
        </is>
      </c>
      <c r="D11" t="inlineStr"/>
      <c r="E11" t="inlineStr">
        <is>
          <t>Kosher Salt</t>
        </is>
      </c>
      <c r="F11" t="inlineStr">
        <is>
          <t>for pasta water</t>
        </is>
      </c>
      <c r="G11" t="n">
        <v>0.8</v>
      </c>
      <c r="H11" t="inlineStr">
        <is>
          <t>lb</t>
        </is>
      </c>
      <c r="I11">
        <f>IF($A11="","",COUNTIF($A$2:$A11,$A11))</f>
        <v/>
      </c>
      <c r="J11">
        <f>IF($A11="","",$A11&amp;"|"&amp;$I11)</f>
        <v/>
      </c>
      <c r="K11">
        <f>IF($D11="","",IFERROR(VLOOKUP(LOWER($D11),UnitsTable,3,0),""))</f>
        <v/>
      </c>
      <c r="L11">
        <f>IF($H11="","",IFERROR(VLOOKUP(LOWER($H11),UnitsTable,3,0),""))</f>
        <v/>
      </c>
      <c r="M11">
        <f>IF($D11="","",IFERROR(VLOOKUP(LOWER($D11),UnitsTable,2,0),""))</f>
        <v/>
      </c>
      <c r="N11">
        <f>IF($H11="","",IFERROR(VLOOKUP(LOWER($H11),UnitsTable,2,0),""))</f>
        <v/>
      </c>
      <c r="O11">
        <f>IF($B11="","",IF($D11=$H11,$B11,IF(AND($K11&lt;&gt;"",$L11&lt;&gt;"",$M11=$N11),$B11*$K11/$L11,$B11)))</f>
        <v/>
      </c>
      <c r="P11">
        <f>IF(OR($B11="",$G11=""),0,$O11*$G11)</f>
        <v/>
      </c>
    </row>
    <row r="12">
      <c r="A12" t="inlineStr">
        <is>
          <t>Classic Smash Burger</t>
        </is>
      </c>
      <c r="B12" t="n">
        <v>0.25</v>
      </c>
      <c r="C12" t="inlineStr"/>
      <c r="D12" t="inlineStr">
        <is>
          <t>lb</t>
        </is>
      </c>
      <c r="E12" t="inlineStr">
        <is>
          <t>Ground Beef 80/20</t>
        </is>
      </c>
      <c r="F12" t="inlineStr">
        <is>
          <t>loose ball</t>
        </is>
      </c>
      <c r="G12" t="n">
        <v>4.25</v>
      </c>
      <c r="H12" t="inlineStr">
        <is>
          <t>lb</t>
        </is>
      </c>
      <c r="I12">
        <f>IF($A12="","",COUNTIF($A$2:$A12,$A12))</f>
        <v/>
      </c>
      <c r="J12">
        <f>IF($A12="","",$A12&amp;"|"&amp;$I12)</f>
        <v/>
      </c>
      <c r="K12">
        <f>IF($D12="","",IFERROR(VLOOKUP(LOWER($D12),UnitsTable,3,0),""))</f>
        <v/>
      </c>
      <c r="L12">
        <f>IF($H12="","",IFERROR(VLOOKUP(LOWER($H12),UnitsTable,3,0),""))</f>
        <v/>
      </c>
      <c r="M12">
        <f>IF($D12="","",IFERROR(VLOOKUP(LOWER($D12),UnitsTable,2,0),""))</f>
        <v/>
      </c>
      <c r="N12">
        <f>IF($H12="","",IFERROR(VLOOKUP(LOWER($H12),UnitsTable,2,0),""))</f>
        <v/>
      </c>
      <c r="O12">
        <f>IF($B12="","",IF($D12=$H12,$B12,IF(AND($K12&lt;&gt;"",$L12&lt;&gt;"",$M12=$N12),$B12*$K12/$L12,$B12)))</f>
        <v/>
      </c>
      <c r="P12">
        <f>IF(OR($B12="",$G12=""),0,$O12*$G12)</f>
        <v/>
      </c>
    </row>
    <row r="13">
      <c r="A13" t="inlineStr">
        <is>
          <t>Classic Smash Burger</t>
        </is>
      </c>
      <c r="B13" t="n">
        <v>1</v>
      </c>
      <c r="C13" t="inlineStr"/>
      <c r="D13" t="inlineStr">
        <is>
          <t>each</t>
        </is>
      </c>
      <c r="E13" t="inlineStr">
        <is>
          <t>Burger Buns</t>
        </is>
      </c>
      <c r="F13" t="inlineStr">
        <is>
          <t>toasted</t>
        </is>
      </c>
      <c r="G13" t="n">
        <v>0.35</v>
      </c>
      <c r="H13" t="inlineStr">
        <is>
          <t>each</t>
        </is>
      </c>
      <c r="I13">
        <f>IF($A13="","",COUNTIF($A$2:$A13,$A13))</f>
        <v/>
      </c>
      <c r="J13">
        <f>IF($A13="","",$A13&amp;"|"&amp;$I13)</f>
        <v/>
      </c>
      <c r="K13">
        <f>IF($D13="","",IFERROR(VLOOKUP(LOWER($D13),UnitsTable,3,0),""))</f>
        <v/>
      </c>
      <c r="L13">
        <f>IF($H13="","",IFERROR(VLOOKUP(LOWER($H13),UnitsTable,3,0),""))</f>
        <v/>
      </c>
      <c r="M13">
        <f>IF($D13="","",IFERROR(VLOOKUP(LOWER($D13),UnitsTable,2,0),""))</f>
        <v/>
      </c>
      <c r="N13">
        <f>IF($H13="","",IFERROR(VLOOKUP(LOWER($H13),UnitsTable,2,0),""))</f>
        <v/>
      </c>
      <c r="O13">
        <f>IF($B13="","",IF($D13=$H13,$B13,IF(AND($K13&lt;&gt;"",$L13&lt;&gt;"",$M13=$N13),$B13*$K13/$L13,$B13)))</f>
        <v/>
      </c>
      <c r="P13">
        <f>IF(OR($B13="",$G13=""),0,$O13*$G13)</f>
        <v/>
      </c>
    </row>
    <row r="14">
      <c r="A14" t="inlineStr">
        <is>
          <t>Classic Smash Burger</t>
        </is>
      </c>
      <c r="B14" t="n">
        <v>0.1</v>
      </c>
      <c r="C14" t="inlineStr"/>
      <c r="D14" t="inlineStr">
        <is>
          <t>lb</t>
        </is>
      </c>
      <c r="E14" t="inlineStr">
        <is>
          <t>Yellow Onions</t>
        </is>
      </c>
      <c r="F14" t="inlineStr">
        <is>
          <t>thin sliced</t>
        </is>
      </c>
      <c r="G14" t="n">
        <v>0.6</v>
      </c>
      <c r="H14" t="inlineStr">
        <is>
          <t>lb</t>
        </is>
      </c>
      <c r="I14">
        <f>IF($A14="","",COUNTIF($A$2:$A14,$A14))</f>
        <v/>
      </c>
      <c r="J14">
        <f>IF($A14="","",$A14&amp;"|"&amp;$I14)</f>
        <v/>
      </c>
      <c r="K14">
        <f>IF($D14="","",IFERROR(VLOOKUP(LOWER($D14),UnitsTable,3,0),""))</f>
        <v/>
      </c>
      <c r="L14">
        <f>IF($H14="","",IFERROR(VLOOKUP(LOWER($H14),UnitsTable,3,0),""))</f>
        <v/>
      </c>
      <c r="M14">
        <f>IF($D14="","",IFERROR(VLOOKUP(LOWER($D14),UnitsTable,2,0),""))</f>
        <v/>
      </c>
      <c r="N14">
        <f>IF($H14="","",IFERROR(VLOOKUP(LOWER($H14),UnitsTable,2,0),""))</f>
        <v/>
      </c>
      <c r="O14">
        <f>IF($B14="","",IF($D14=$H14,$B14,IF(AND($K14&lt;&gt;"",$L14&lt;&gt;"",$M14=$N14),$B14*$K14/$L14,$B14)))</f>
        <v/>
      </c>
      <c r="P14">
        <f>IF(OR($B14="",$G14=""),0,$O14*$G14)</f>
        <v/>
      </c>
    </row>
    <row r="15">
      <c r="A15" t="inlineStr">
        <is>
          <t>Classic Smash Burger</t>
        </is>
      </c>
      <c r="C15" t="inlineStr">
        <is>
          <t>TT</t>
        </is>
      </c>
      <c r="D15" t="inlineStr"/>
      <c r="E15" t="inlineStr">
        <is>
          <t>Kosher Salt</t>
        </is>
      </c>
      <c r="F15" t="inlineStr">
        <is>
          <t>season on smash</t>
        </is>
      </c>
      <c r="G15" t="n">
        <v>0.8</v>
      </c>
      <c r="H15" t="inlineStr">
        <is>
          <t>lb</t>
        </is>
      </c>
      <c r="I15">
        <f>IF($A15="","",COUNTIF($A$2:$A15,$A15))</f>
        <v/>
      </c>
      <c r="J15">
        <f>IF($A15="","",$A15&amp;"|"&amp;$I15)</f>
        <v/>
      </c>
      <c r="K15">
        <f>IF($D15="","",IFERROR(VLOOKUP(LOWER($D15),UnitsTable,3,0),""))</f>
        <v/>
      </c>
      <c r="L15">
        <f>IF($H15="","",IFERROR(VLOOKUP(LOWER($H15),UnitsTable,3,0),""))</f>
        <v/>
      </c>
      <c r="M15">
        <f>IF($D15="","",IFERROR(VLOOKUP(LOWER($D15),UnitsTable,2,0),""))</f>
        <v/>
      </c>
      <c r="N15">
        <f>IF($H15="","",IFERROR(VLOOKUP(LOWER($H15),UnitsTable,2,0),""))</f>
        <v/>
      </c>
      <c r="O15">
        <f>IF($B15="","",IF($D15=$H15,$B15,IF(AND($K15&lt;&gt;"",$L15&lt;&gt;"",$M15=$N15),$B15*$K15/$L15,$B15)))</f>
        <v/>
      </c>
      <c r="P15">
        <f>IF(OR($B15="",$G15=""),0,$O15*$G15)</f>
        <v/>
      </c>
    </row>
    <row r="16">
      <c r="A16" t="inlineStr">
        <is>
          <t>Pan-Seared Salmon</t>
        </is>
      </c>
      <c r="B16" t="n">
        <v>0.4</v>
      </c>
      <c r="C16" t="inlineStr"/>
      <c r="D16" t="inlineStr">
        <is>
          <t>lb</t>
        </is>
      </c>
      <c r="E16" t="inlineStr">
        <is>
          <t>Salmon Fillet</t>
        </is>
      </c>
      <c r="F16" t="inlineStr">
        <is>
          <t>skin on, scaled</t>
        </is>
      </c>
      <c r="G16" t="n">
        <v>11.5</v>
      </c>
      <c r="H16" t="inlineStr">
        <is>
          <t>lb</t>
        </is>
      </c>
      <c r="I16">
        <f>IF($A16="","",COUNTIF($A$2:$A16,$A16))</f>
        <v/>
      </c>
      <c r="J16">
        <f>IF($A16="","",$A16&amp;"|"&amp;$I16)</f>
        <v/>
      </c>
      <c r="K16">
        <f>IF($D16="","",IFERROR(VLOOKUP(LOWER($D16),UnitsTable,3,0),""))</f>
        <v/>
      </c>
      <c r="L16">
        <f>IF($H16="","",IFERROR(VLOOKUP(LOWER($H16),UnitsTable,3,0),""))</f>
        <v/>
      </c>
      <c r="M16">
        <f>IF($D16="","",IFERROR(VLOOKUP(LOWER($D16),UnitsTable,2,0),""))</f>
        <v/>
      </c>
      <c r="N16">
        <f>IF($H16="","",IFERROR(VLOOKUP(LOWER($H16),UnitsTable,2,0),""))</f>
        <v/>
      </c>
      <c r="O16">
        <f>IF($B16="","",IF($D16=$H16,$B16,IF(AND($K16&lt;&gt;"",$L16&lt;&gt;"",$M16=$N16),$B16*$K16/$L16,$B16)))</f>
        <v/>
      </c>
      <c r="P16">
        <f>IF(OR($B16="",$G16=""),0,$O16*$G16)</f>
        <v/>
      </c>
    </row>
    <row r="17">
      <c r="A17" t="inlineStr">
        <is>
          <t>Pan-Seared Salmon</t>
        </is>
      </c>
      <c r="B17" t="n">
        <v>0.03</v>
      </c>
      <c r="C17" t="inlineStr"/>
      <c r="D17" t="inlineStr">
        <is>
          <t>L</t>
        </is>
      </c>
      <c r="E17" t="inlineStr">
        <is>
          <t>Olive Oil, EV</t>
        </is>
      </c>
      <c r="F17" t="inlineStr">
        <is>
          <t>for the sear</t>
        </is>
      </c>
      <c r="G17" t="n">
        <v>9.5</v>
      </c>
      <c r="H17" t="inlineStr">
        <is>
          <t>L</t>
        </is>
      </c>
      <c r="I17">
        <f>IF($A17="","",COUNTIF($A$2:$A17,$A17))</f>
        <v/>
      </c>
      <c r="J17">
        <f>IF($A17="","",$A17&amp;"|"&amp;$I17)</f>
        <v/>
      </c>
      <c r="K17">
        <f>IF($D17="","",IFERROR(VLOOKUP(LOWER($D17),UnitsTable,3,0),""))</f>
        <v/>
      </c>
      <c r="L17">
        <f>IF($H17="","",IFERROR(VLOOKUP(LOWER($H17),UnitsTable,3,0),""))</f>
        <v/>
      </c>
      <c r="M17">
        <f>IF($D17="","",IFERROR(VLOOKUP(LOWER($D17),UnitsTable,2,0),""))</f>
        <v/>
      </c>
      <c r="N17">
        <f>IF($H17="","",IFERROR(VLOOKUP(LOWER($H17),UnitsTable,2,0),""))</f>
        <v/>
      </c>
      <c r="O17">
        <f>IF($B17="","",IF($D17=$H17,$B17,IF(AND($K17&lt;&gt;"",$L17&lt;&gt;"",$M17=$N17),$B17*$K17/$L17,$B17)))</f>
        <v/>
      </c>
      <c r="P17">
        <f>IF(OR($B17="",$G17=""),0,$O17*$G17)</f>
        <v/>
      </c>
    </row>
    <row r="18">
      <c r="A18" t="inlineStr">
        <is>
          <t>Pan-Seared Salmon</t>
        </is>
      </c>
      <c r="B18" t="n">
        <v>0.05</v>
      </c>
      <c r="C18" t="inlineStr"/>
      <c r="D18" t="inlineStr">
        <is>
          <t>lb</t>
        </is>
      </c>
      <c r="E18" t="inlineStr">
        <is>
          <t>Butter, unsalted</t>
        </is>
      </c>
      <c r="F18" t="inlineStr">
        <is>
          <t>to baste</t>
        </is>
      </c>
      <c r="G18" t="n">
        <v>3.6</v>
      </c>
      <c r="H18" t="inlineStr">
        <is>
          <t>lb</t>
        </is>
      </c>
      <c r="I18">
        <f>IF($A18="","",COUNTIF($A$2:$A18,$A18))</f>
        <v/>
      </c>
      <c r="J18">
        <f>IF($A18="","",$A18&amp;"|"&amp;$I18)</f>
        <v/>
      </c>
      <c r="K18">
        <f>IF($D18="","",IFERROR(VLOOKUP(LOWER($D18),UnitsTable,3,0),""))</f>
        <v/>
      </c>
      <c r="L18">
        <f>IF($H18="","",IFERROR(VLOOKUP(LOWER($H18),UnitsTable,3,0),""))</f>
        <v/>
      </c>
      <c r="M18">
        <f>IF($D18="","",IFERROR(VLOOKUP(LOWER($D18),UnitsTable,2,0),""))</f>
        <v/>
      </c>
      <c r="N18">
        <f>IF($H18="","",IFERROR(VLOOKUP(LOWER($H18),UnitsTable,2,0),""))</f>
        <v/>
      </c>
      <c r="O18">
        <f>IF($B18="","",IF($D18=$H18,$B18,IF(AND($K18&lt;&gt;"",$L18&lt;&gt;"",$M18=$N18),$B18*$K18/$L18,$B18)))</f>
        <v/>
      </c>
      <c r="P18">
        <f>IF(OR($B18="",$G18=""),0,$O18*$G18)</f>
        <v/>
      </c>
    </row>
    <row r="19">
      <c r="A19" t="inlineStr">
        <is>
          <t>Pan-Seared Salmon</t>
        </is>
      </c>
      <c r="B19" t="n">
        <v>0.5</v>
      </c>
      <c r="C19" t="inlineStr"/>
      <c r="D19" t="inlineStr">
        <is>
          <t>each</t>
        </is>
      </c>
      <c r="E19" t="inlineStr">
        <is>
          <t>Lemons</t>
        </is>
      </c>
      <c r="F19" t="inlineStr">
        <is>
          <t>wedge</t>
        </is>
      </c>
      <c r="G19" t="n">
        <v>0.45</v>
      </c>
      <c r="H19" t="inlineStr">
        <is>
          <t>each</t>
        </is>
      </c>
      <c r="I19">
        <f>IF($A19="","",COUNTIF($A$2:$A19,$A19))</f>
        <v/>
      </c>
      <c r="J19">
        <f>IF($A19="","",$A19&amp;"|"&amp;$I19)</f>
        <v/>
      </c>
      <c r="K19">
        <f>IF($D19="","",IFERROR(VLOOKUP(LOWER($D19),UnitsTable,3,0),""))</f>
        <v/>
      </c>
      <c r="L19">
        <f>IF($H19="","",IFERROR(VLOOKUP(LOWER($H19),UnitsTable,3,0),""))</f>
        <v/>
      </c>
      <c r="M19">
        <f>IF($D19="","",IFERROR(VLOOKUP(LOWER($D19),UnitsTable,2,0),""))</f>
        <v/>
      </c>
      <c r="N19">
        <f>IF($H19="","",IFERROR(VLOOKUP(LOWER($H19),UnitsTable,2,0),""))</f>
        <v/>
      </c>
      <c r="O19">
        <f>IF($B19="","",IF($D19=$H19,$B19,IF(AND($K19&lt;&gt;"",$L19&lt;&gt;"",$M19=$N19),$B19*$K19/$L19,$B19)))</f>
        <v/>
      </c>
      <c r="P19">
        <f>IF(OR($B19="",$G19=""),0,$O19*$G19)</f>
        <v/>
      </c>
    </row>
    <row r="20">
      <c r="A20" t="inlineStr">
        <is>
          <t>Pan-Seared Salmon</t>
        </is>
      </c>
      <c r="C20" t="inlineStr">
        <is>
          <t>TT</t>
        </is>
      </c>
      <c r="D20" t="inlineStr"/>
      <c r="E20" t="inlineStr">
        <is>
          <t>Kosher Salt</t>
        </is>
      </c>
      <c r="F20" t="inlineStr">
        <is>
          <t>both sides</t>
        </is>
      </c>
      <c r="G20" t="n">
        <v>0.8</v>
      </c>
      <c r="H20" t="inlineStr">
        <is>
          <t>lb</t>
        </is>
      </c>
      <c r="I20">
        <f>IF($A20="","",COUNTIF($A$2:$A20,$A20))</f>
        <v/>
      </c>
      <c r="J20">
        <f>IF($A20="","",$A20&amp;"|"&amp;$I20)</f>
        <v/>
      </c>
      <c r="K20">
        <f>IF($D20="","",IFERROR(VLOOKUP(LOWER($D20),UnitsTable,3,0),""))</f>
        <v/>
      </c>
      <c r="L20">
        <f>IF($H20="","",IFERROR(VLOOKUP(LOWER($H20),UnitsTable,3,0),""))</f>
        <v/>
      </c>
      <c r="M20">
        <f>IF($D20="","",IFERROR(VLOOKUP(LOWER($D20),UnitsTable,2,0),""))</f>
        <v/>
      </c>
      <c r="N20">
        <f>IF($H20="","",IFERROR(VLOOKUP(LOWER($H20),UnitsTable,2,0),""))</f>
        <v/>
      </c>
      <c r="O20">
        <f>IF($B20="","",IF($D20=$H20,$B20,IF(AND($K20&lt;&gt;"",$L20&lt;&gt;"",$M20=$N20),$B20*$K20/$L20,$B20)))</f>
        <v/>
      </c>
      <c r="P20">
        <f>IF(OR($B20="",$G20=""),0,$O20*$G20)</f>
        <v/>
      </c>
    </row>
    <row r="21">
      <c r="A21" t="inlineStr">
        <is>
          <t>Caesar Salad</t>
        </is>
      </c>
      <c r="B21" t="n">
        <v>0.08</v>
      </c>
      <c r="C21" t="inlineStr"/>
      <c r="D21" t="inlineStr">
        <is>
          <t>case</t>
        </is>
      </c>
      <c r="E21" t="inlineStr">
        <is>
          <t>Romaine Hearts</t>
        </is>
      </c>
      <c r="F21" t="inlineStr">
        <is>
          <t>chopped</t>
        </is>
      </c>
      <c r="G21" t="n">
        <v>24</v>
      </c>
      <c r="H21" t="inlineStr">
        <is>
          <t>case</t>
        </is>
      </c>
      <c r="I21">
        <f>IF($A21="","",COUNTIF($A$2:$A21,$A21))</f>
        <v/>
      </c>
      <c r="J21">
        <f>IF($A21="","",$A21&amp;"|"&amp;$I21)</f>
        <v/>
      </c>
      <c r="K21">
        <f>IF($D21="","",IFERROR(VLOOKUP(LOWER($D21),UnitsTable,3,0),""))</f>
        <v/>
      </c>
      <c r="L21">
        <f>IF($H21="","",IFERROR(VLOOKUP(LOWER($H21),UnitsTable,3,0),""))</f>
        <v/>
      </c>
      <c r="M21">
        <f>IF($D21="","",IFERROR(VLOOKUP(LOWER($D21),UnitsTable,2,0),""))</f>
        <v/>
      </c>
      <c r="N21">
        <f>IF($H21="","",IFERROR(VLOOKUP(LOWER($H21),UnitsTable,2,0),""))</f>
        <v/>
      </c>
      <c r="O21">
        <f>IF($B21="","",IF($D21=$H21,$B21,IF(AND($K21&lt;&gt;"",$L21&lt;&gt;"",$M21=$N21),$B21*$K21/$L21,$B21)))</f>
        <v/>
      </c>
      <c r="P21">
        <f>IF(OR($B21="",$G21=""),0,$O21*$G21)</f>
        <v/>
      </c>
    </row>
    <row r="22">
      <c r="A22" t="inlineStr">
        <is>
          <t>Caesar Salad</t>
        </is>
      </c>
      <c r="B22" t="n">
        <v>0.05</v>
      </c>
      <c r="C22" t="inlineStr"/>
      <c r="D22" t="inlineStr">
        <is>
          <t>lb</t>
        </is>
      </c>
      <c r="E22" t="inlineStr">
        <is>
          <t>Parmesan, grated</t>
        </is>
      </c>
      <c r="F22" t="inlineStr">
        <is>
          <t>shaved + grated</t>
        </is>
      </c>
      <c r="G22" t="n">
        <v>8.5</v>
      </c>
      <c r="H22" t="inlineStr">
        <is>
          <t>lb</t>
        </is>
      </c>
      <c r="I22">
        <f>IF($A22="","",COUNTIF($A$2:$A22,$A22))</f>
        <v/>
      </c>
      <c r="J22">
        <f>IF($A22="","",$A22&amp;"|"&amp;$I22)</f>
        <v/>
      </c>
      <c r="K22">
        <f>IF($D22="","",IFERROR(VLOOKUP(LOWER($D22),UnitsTable,3,0),""))</f>
        <v/>
      </c>
      <c r="L22">
        <f>IF($H22="","",IFERROR(VLOOKUP(LOWER($H22),UnitsTable,3,0),""))</f>
        <v/>
      </c>
      <c r="M22">
        <f>IF($D22="","",IFERROR(VLOOKUP(LOWER($D22),UnitsTable,2,0),""))</f>
        <v/>
      </c>
      <c r="N22">
        <f>IF($H22="","",IFERROR(VLOOKUP(LOWER($H22),UnitsTable,2,0),""))</f>
        <v/>
      </c>
      <c r="O22">
        <f>IF($B22="","",IF($D22=$H22,$B22,IF(AND($K22&lt;&gt;"",$L22&lt;&gt;"",$M22=$N22),$B22*$K22/$L22,$B22)))</f>
        <v/>
      </c>
      <c r="P22">
        <f>IF(OR($B22="",$G22=""),0,$O22*$G22)</f>
        <v/>
      </c>
    </row>
    <row r="23">
      <c r="A23" t="inlineStr">
        <is>
          <t>Caesar Salad</t>
        </is>
      </c>
      <c r="B23" t="n">
        <v>0.02</v>
      </c>
      <c r="C23" t="inlineStr"/>
      <c r="D23" t="inlineStr">
        <is>
          <t>L</t>
        </is>
      </c>
      <c r="E23" t="inlineStr">
        <is>
          <t>Olive Oil, EV</t>
        </is>
      </c>
      <c r="F23" t="inlineStr">
        <is>
          <t>for dressing</t>
        </is>
      </c>
      <c r="G23" t="n">
        <v>9.5</v>
      </c>
      <c r="H23" t="inlineStr">
        <is>
          <t>L</t>
        </is>
      </c>
      <c r="I23">
        <f>IF($A23="","",COUNTIF($A$2:$A23,$A23))</f>
        <v/>
      </c>
      <c r="J23">
        <f>IF($A23="","",$A23&amp;"|"&amp;$I23)</f>
        <v/>
      </c>
      <c r="K23">
        <f>IF($D23="","",IFERROR(VLOOKUP(LOWER($D23),UnitsTable,3,0),""))</f>
        <v/>
      </c>
      <c r="L23">
        <f>IF($H23="","",IFERROR(VLOOKUP(LOWER($H23),UnitsTable,3,0),""))</f>
        <v/>
      </c>
      <c r="M23">
        <f>IF($D23="","",IFERROR(VLOOKUP(LOWER($D23),UnitsTable,2,0),""))</f>
        <v/>
      </c>
      <c r="N23">
        <f>IF($H23="","",IFERROR(VLOOKUP(LOWER($H23),UnitsTable,2,0),""))</f>
        <v/>
      </c>
      <c r="O23">
        <f>IF($B23="","",IF($D23=$H23,$B23,IF(AND($K23&lt;&gt;"",$L23&lt;&gt;"",$M23=$N23),$B23*$K23/$L23,$B23)))</f>
        <v/>
      </c>
      <c r="P23">
        <f>IF(OR($B23="",$G23=""),0,$O23*$G23)</f>
        <v/>
      </c>
    </row>
    <row r="24">
      <c r="A24" t="inlineStr">
        <is>
          <t>Caesar Salad</t>
        </is>
      </c>
      <c r="B24" t="n">
        <v>0.25</v>
      </c>
      <c r="C24" t="inlineStr"/>
      <c r="D24" t="inlineStr">
        <is>
          <t>each</t>
        </is>
      </c>
      <c r="E24" t="inlineStr">
        <is>
          <t>Lemons</t>
        </is>
      </c>
      <c r="F24" t="inlineStr">
        <is>
          <t>juiced</t>
        </is>
      </c>
      <c r="G24" t="n">
        <v>0.45</v>
      </c>
      <c r="H24" t="inlineStr">
        <is>
          <t>each</t>
        </is>
      </c>
      <c r="I24">
        <f>IF($A24="","",COUNTIF($A$2:$A24,$A24))</f>
        <v/>
      </c>
      <c r="J24">
        <f>IF($A24="","",$A24&amp;"|"&amp;$I24)</f>
        <v/>
      </c>
      <c r="K24">
        <f>IF($D24="","",IFERROR(VLOOKUP(LOWER($D24),UnitsTable,3,0),""))</f>
        <v/>
      </c>
      <c r="L24">
        <f>IF($H24="","",IFERROR(VLOOKUP(LOWER($H24),UnitsTable,3,0),""))</f>
        <v/>
      </c>
      <c r="M24">
        <f>IF($D24="","",IFERROR(VLOOKUP(LOWER($D24),UnitsTable,2,0),""))</f>
        <v/>
      </c>
      <c r="N24">
        <f>IF($H24="","",IFERROR(VLOOKUP(LOWER($H24),UnitsTable,2,0),""))</f>
        <v/>
      </c>
      <c r="O24">
        <f>IF($B24="","",IF($D24=$H24,$B24,IF(AND($K24&lt;&gt;"",$L24&lt;&gt;"",$M24=$N24),$B24*$K24/$L24,$B24)))</f>
        <v/>
      </c>
      <c r="P24">
        <f>IF(OR($B24="",$G24=""),0,$O24*$G24)</f>
        <v/>
      </c>
    </row>
    <row r="25">
      <c r="I25">
        <f>IF($A25="","",COUNTIF($A$2:$A25,$A25))</f>
        <v/>
      </c>
      <c r="J25">
        <f>IF($A25="","",$A25&amp;"|"&amp;$I25)</f>
        <v/>
      </c>
      <c r="K25">
        <f>IF($D25="","",IFERROR(VLOOKUP(LOWER($D25),UnitsTable,3,0),""))</f>
        <v/>
      </c>
      <c r="L25">
        <f>IF($H25="","",IFERROR(VLOOKUP(LOWER($H25),UnitsTable,3,0),""))</f>
        <v/>
      </c>
      <c r="M25">
        <f>IF($D25="","",IFERROR(VLOOKUP(LOWER($D25),UnitsTable,2,0),""))</f>
        <v/>
      </c>
      <c r="N25">
        <f>IF($H25="","",IFERROR(VLOOKUP(LOWER($H25),UnitsTable,2,0),""))</f>
        <v/>
      </c>
      <c r="O25">
        <f>IF($B25="","",IF($D25=$H25,$B25,IF(AND($K25&lt;&gt;"",$L25&lt;&gt;"",$M25=$N25),$B25*$K25/$L25,$B25)))</f>
        <v/>
      </c>
      <c r="P25">
        <f>IF(OR($B25="",$G25=""),0,$O25*$G25)</f>
        <v/>
      </c>
    </row>
    <row r="26">
      <c r="I26">
        <f>IF($A26="","",COUNTIF($A$2:$A26,$A26))</f>
        <v/>
      </c>
      <c r="J26">
        <f>IF($A26="","",$A26&amp;"|"&amp;$I26)</f>
        <v/>
      </c>
      <c r="K26">
        <f>IF($D26="","",IFERROR(VLOOKUP(LOWER($D26),UnitsTable,3,0),""))</f>
        <v/>
      </c>
      <c r="L26">
        <f>IF($H26="","",IFERROR(VLOOKUP(LOWER($H26),UnitsTable,3,0),""))</f>
        <v/>
      </c>
      <c r="M26">
        <f>IF($D26="","",IFERROR(VLOOKUP(LOWER($D26),UnitsTable,2,0),""))</f>
        <v/>
      </c>
      <c r="N26">
        <f>IF($H26="","",IFERROR(VLOOKUP(LOWER($H26),UnitsTable,2,0),""))</f>
        <v/>
      </c>
      <c r="O26">
        <f>IF($B26="","",IF($D26=$H26,$B26,IF(AND($K26&lt;&gt;"",$L26&lt;&gt;"",$M26=$N26),$B26*$K26/$L26,$B26)))</f>
        <v/>
      </c>
      <c r="P26">
        <f>IF(OR($B26="",$G26=""),0,$O26*$G26)</f>
        <v/>
      </c>
    </row>
    <row r="27">
      <c r="I27">
        <f>IF($A27="","",COUNTIF($A$2:$A27,$A27))</f>
        <v/>
      </c>
      <c r="J27">
        <f>IF($A27="","",$A27&amp;"|"&amp;$I27)</f>
        <v/>
      </c>
      <c r="K27">
        <f>IF($D27="","",IFERROR(VLOOKUP(LOWER($D27),UnitsTable,3,0),""))</f>
        <v/>
      </c>
      <c r="L27">
        <f>IF($H27="","",IFERROR(VLOOKUP(LOWER($H27),UnitsTable,3,0),""))</f>
        <v/>
      </c>
      <c r="M27">
        <f>IF($D27="","",IFERROR(VLOOKUP(LOWER($D27),UnitsTable,2,0),""))</f>
        <v/>
      </c>
      <c r="N27">
        <f>IF($H27="","",IFERROR(VLOOKUP(LOWER($H27),UnitsTable,2,0),""))</f>
        <v/>
      </c>
      <c r="O27">
        <f>IF($B27="","",IF($D27=$H27,$B27,IF(AND($K27&lt;&gt;"",$L27&lt;&gt;"",$M27=$N27),$B27*$K27/$L27,$B27)))</f>
        <v/>
      </c>
      <c r="P27">
        <f>IF(OR($B27="",$G27=""),0,$O27*$G27)</f>
        <v/>
      </c>
    </row>
    <row r="28">
      <c r="I28">
        <f>IF($A28="","",COUNTIF($A$2:$A28,$A28))</f>
        <v/>
      </c>
      <c r="J28">
        <f>IF($A28="","",$A28&amp;"|"&amp;$I28)</f>
        <v/>
      </c>
      <c r="K28">
        <f>IF($D28="","",IFERROR(VLOOKUP(LOWER($D28),UnitsTable,3,0),""))</f>
        <v/>
      </c>
      <c r="L28">
        <f>IF($H28="","",IFERROR(VLOOKUP(LOWER($H28),UnitsTable,3,0),""))</f>
        <v/>
      </c>
      <c r="M28">
        <f>IF($D28="","",IFERROR(VLOOKUP(LOWER($D28),UnitsTable,2,0),""))</f>
        <v/>
      </c>
      <c r="N28">
        <f>IF($H28="","",IFERROR(VLOOKUP(LOWER($H28),UnitsTable,2,0),""))</f>
        <v/>
      </c>
      <c r="O28">
        <f>IF($B28="","",IF($D28=$H28,$B28,IF(AND($K28&lt;&gt;"",$L28&lt;&gt;"",$M28=$N28),$B28*$K28/$L28,$B28)))</f>
        <v/>
      </c>
      <c r="P28">
        <f>IF(OR($B28="",$G28=""),0,$O28*$G28)</f>
        <v/>
      </c>
    </row>
    <row r="29">
      <c r="I29">
        <f>IF($A29="","",COUNTIF($A$2:$A29,$A29))</f>
        <v/>
      </c>
      <c r="J29">
        <f>IF($A29="","",$A29&amp;"|"&amp;$I29)</f>
        <v/>
      </c>
      <c r="K29">
        <f>IF($D29="","",IFERROR(VLOOKUP(LOWER($D29),UnitsTable,3,0),""))</f>
        <v/>
      </c>
      <c r="L29">
        <f>IF($H29="","",IFERROR(VLOOKUP(LOWER($H29),UnitsTable,3,0),""))</f>
        <v/>
      </c>
      <c r="M29">
        <f>IF($D29="","",IFERROR(VLOOKUP(LOWER($D29),UnitsTable,2,0),""))</f>
        <v/>
      </c>
      <c r="N29">
        <f>IF($H29="","",IFERROR(VLOOKUP(LOWER($H29),UnitsTable,2,0),""))</f>
        <v/>
      </c>
      <c r="O29">
        <f>IF($B29="","",IF($D29=$H29,$B29,IF(AND($K29&lt;&gt;"",$L29&lt;&gt;"",$M29=$N29),$B29*$K29/$L29,$B29)))</f>
        <v/>
      </c>
      <c r="P29">
        <f>IF(OR($B29="",$G29=""),0,$O29*$G29)</f>
        <v/>
      </c>
    </row>
    <row r="30">
      <c r="I30">
        <f>IF($A30="","",COUNTIF($A$2:$A30,$A30))</f>
        <v/>
      </c>
      <c r="J30">
        <f>IF($A30="","",$A30&amp;"|"&amp;$I30)</f>
        <v/>
      </c>
      <c r="K30">
        <f>IF($D30="","",IFERROR(VLOOKUP(LOWER($D30),UnitsTable,3,0),""))</f>
        <v/>
      </c>
      <c r="L30">
        <f>IF($H30="","",IFERROR(VLOOKUP(LOWER($H30),UnitsTable,3,0),""))</f>
        <v/>
      </c>
      <c r="M30">
        <f>IF($D30="","",IFERROR(VLOOKUP(LOWER($D30),UnitsTable,2,0),""))</f>
        <v/>
      </c>
      <c r="N30">
        <f>IF($H30="","",IFERROR(VLOOKUP(LOWER($H30),UnitsTable,2,0),""))</f>
        <v/>
      </c>
      <c r="O30">
        <f>IF($B30="","",IF($D30=$H30,$B30,IF(AND($K30&lt;&gt;"",$L30&lt;&gt;"",$M30=$N30),$B30*$K30/$L30,$B30)))</f>
        <v/>
      </c>
      <c r="P30">
        <f>IF(OR($B30="",$G30=""),0,$O30*$G30)</f>
        <v/>
      </c>
    </row>
    <row r="31">
      <c r="I31">
        <f>IF($A31="","",COUNTIF($A$2:$A31,$A31))</f>
        <v/>
      </c>
      <c r="J31">
        <f>IF($A31="","",$A31&amp;"|"&amp;$I31)</f>
        <v/>
      </c>
      <c r="K31">
        <f>IF($D31="","",IFERROR(VLOOKUP(LOWER($D31),UnitsTable,3,0),""))</f>
        <v/>
      </c>
      <c r="L31">
        <f>IF($H31="","",IFERROR(VLOOKUP(LOWER($H31),UnitsTable,3,0),""))</f>
        <v/>
      </c>
      <c r="M31">
        <f>IF($D31="","",IFERROR(VLOOKUP(LOWER($D31),UnitsTable,2,0),""))</f>
        <v/>
      </c>
      <c r="N31">
        <f>IF($H31="","",IFERROR(VLOOKUP(LOWER($H31),UnitsTable,2,0),""))</f>
        <v/>
      </c>
      <c r="O31">
        <f>IF($B31="","",IF($D31=$H31,$B31,IF(AND($K31&lt;&gt;"",$L31&lt;&gt;"",$M31=$N31),$B31*$K31/$L31,$B31)))</f>
        <v/>
      </c>
      <c r="P31">
        <f>IF(OR($B31="",$G31=""),0,$O31*$G31)</f>
        <v/>
      </c>
    </row>
    <row r="32">
      <c r="I32">
        <f>IF($A32="","",COUNTIF($A$2:$A32,$A32))</f>
        <v/>
      </c>
      <c r="J32">
        <f>IF($A32="","",$A32&amp;"|"&amp;$I32)</f>
        <v/>
      </c>
      <c r="K32">
        <f>IF($D32="","",IFERROR(VLOOKUP(LOWER($D32),UnitsTable,3,0),""))</f>
        <v/>
      </c>
      <c r="L32">
        <f>IF($H32="","",IFERROR(VLOOKUP(LOWER($H32),UnitsTable,3,0),""))</f>
        <v/>
      </c>
      <c r="M32">
        <f>IF($D32="","",IFERROR(VLOOKUP(LOWER($D32),UnitsTable,2,0),""))</f>
        <v/>
      </c>
      <c r="N32">
        <f>IF($H32="","",IFERROR(VLOOKUP(LOWER($H32),UnitsTable,2,0),""))</f>
        <v/>
      </c>
      <c r="O32">
        <f>IF($B32="","",IF($D32=$H32,$B32,IF(AND($K32&lt;&gt;"",$L32&lt;&gt;"",$M32=$N32),$B32*$K32/$L32,$B32)))</f>
        <v/>
      </c>
      <c r="P32">
        <f>IF(OR($B32="",$G32=""),0,$O32*$G32)</f>
        <v/>
      </c>
    </row>
    <row r="33">
      <c r="I33">
        <f>IF($A33="","",COUNTIF($A$2:$A33,$A33))</f>
        <v/>
      </c>
      <c r="J33">
        <f>IF($A33="","",$A33&amp;"|"&amp;$I33)</f>
        <v/>
      </c>
      <c r="K33">
        <f>IF($D33="","",IFERROR(VLOOKUP(LOWER($D33),UnitsTable,3,0),""))</f>
        <v/>
      </c>
      <c r="L33">
        <f>IF($H33="","",IFERROR(VLOOKUP(LOWER($H33),UnitsTable,3,0),""))</f>
        <v/>
      </c>
      <c r="M33">
        <f>IF($D33="","",IFERROR(VLOOKUP(LOWER($D33),UnitsTable,2,0),""))</f>
        <v/>
      </c>
      <c r="N33">
        <f>IF($H33="","",IFERROR(VLOOKUP(LOWER($H33),UnitsTable,2,0),""))</f>
        <v/>
      </c>
      <c r="O33">
        <f>IF($B33="","",IF($D33=$H33,$B33,IF(AND($K33&lt;&gt;"",$L33&lt;&gt;"",$M33=$N33),$B33*$K33/$L33,$B33)))</f>
        <v/>
      </c>
      <c r="P33">
        <f>IF(OR($B33="",$G33=""),0,$O33*$G33)</f>
        <v/>
      </c>
    </row>
    <row r="34">
      <c r="I34">
        <f>IF($A34="","",COUNTIF($A$2:$A34,$A34))</f>
        <v/>
      </c>
      <c r="J34">
        <f>IF($A34="","",$A34&amp;"|"&amp;$I34)</f>
        <v/>
      </c>
      <c r="K34">
        <f>IF($D34="","",IFERROR(VLOOKUP(LOWER($D34),UnitsTable,3,0),""))</f>
        <v/>
      </c>
      <c r="L34">
        <f>IF($H34="","",IFERROR(VLOOKUP(LOWER($H34),UnitsTable,3,0),""))</f>
        <v/>
      </c>
      <c r="M34">
        <f>IF($D34="","",IFERROR(VLOOKUP(LOWER($D34),UnitsTable,2,0),""))</f>
        <v/>
      </c>
      <c r="N34">
        <f>IF($H34="","",IFERROR(VLOOKUP(LOWER($H34),UnitsTable,2,0),""))</f>
        <v/>
      </c>
      <c r="O34">
        <f>IF($B34="","",IF($D34=$H34,$B34,IF(AND($K34&lt;&gt;"",$L34&lt;&gt;"",$M34=$N34),$B34*$K34/$L34,$B34)))</f>
        <v/>
      </c>
      <c r="P34">
        <f>IF(OR($B34="",$G34=""),0,$O34*$G34)</f>
        <v/>
      </c>
    </row>
    <row r="35">
      <c r="I35">
        <f>IF($A35="","",COUNTIF($A$2:$A35,$A35))</f>
        <v/>
      </c>
      <c r="J35">
        <f>IF($A35="","",$A35&amp;"|"&amp;$I35)</f>
        <v/>
      </c>
      <c r="K35">
        <f>IF($D35="","",IFERROR(VLOOKUP(LOWER($D35),UnitsTable,3,0),""))</f>
        <v/>
      </c>
      <c r="L35">
        <f>IF($H35="","",IFERROR(VLOOKUP(LOWER($H35),UnitsTable,3,0),""))</f>
        <v/>
      </c>
      <c r="M35">
        <f>IF($D35="","",IFERROR(VLOOKUP(LOWER($D35),UnitsTable,2,0),""))</f>
        <v/>
      </c>
      <c r="N35">
        <f>IF($H35="","",IFERROR(VLOOKUP(LOWER($H35),UnitsTable,2,0),""))</f>
        <v/>
      </c>
      <c r="O35">
        <f>IF($B35="","",IF($D35=$H35,$B35,IF(AND($K35&lt;&gt;"",$L35&lt;&gt;"",$M35=$N35),$B35*$K35/$L35,$B35)))</f>
        <v/>
      </c>
      <c r="P35">
        <f>IF(OR($B35="",$G35=""),0,$O35*$G35)</f>
        <v/>
      </c>
    </row>
    <row r="36">
      <c r="I36">
        <f>IF($A36="","",COUNTIF($A$2:$A36,$A36))</f>
        <v/>
      </c>
      <c r="J36">
        <f>IF($A36="","",$A36&amp;"|"&amp;$I36)</f>
        <v/>
      </c>
      <c r="K36">
        <f>IF($D36="","",IFERROR(VLOOKUP(LOWER($D36),UnitsTable,3,0),""))</f>
        <v/>
      </c>
      <c r="L36">
        <f>IF($H36="","",IFERROR(VLOOKUP(LOWER($H36),UnitsTable,3,0),""))</f>
        <v/>
      </c>
      <c r="M36">
        <f>IF($D36="","",IFERROR(VLOOKUP(LOWER($D36),UnitsTable,2,0),""))</f>
        <v/>
      </c>
      <c r="N36">
        <f>IF($H36="","",IFERROR(VLOOKUP(LOWER($H36),UnitsTable,2,0),""))</f>
        <v/>
      </c>
      <c r="O36">
        <f>IF($B36="","",IF($D36=$H36,$B36,IF(AND($K36&lt;&gt;"",$L36&lt;&gt;"",$M36=$N36),$B36*$K36/$L36,$B36)))</f>
        <v/>
      </c>
      <c r="P36">
        <f>IF(OR($B36="",$G36=""),0,$O36*$G36)</f>
        <v/>
      </c>
    </row>
    <row r="37">
      <c r="I37">
        <f>IF($A37="","",COUNTIF($A$2:$A37,$A37))</f>
        <v/>
      </c>
      <c r="J37">
        <f>IF($A37="","",$A37&amp;"|"&amp;$I37)</f>
        <v/>
      </c>
      <c r="K37">
        <f>IF($D37="","",IFERROR(VLOOKUP(LOWER($D37),UnitsTable,3,0),""))</f>
        <v/>
      </c>
      <c r="L37">
        <f>IF($H37="","",IFERROR(VLOOKUP(LOWER($H37),UnitsTable,3,0),""))</f>
        <v/>
      </c>
      <c r="M37">
        <f>IF($D37="","",IFERROR(VLOOKUP(LOWER($D37),UnitsTable,2,0),""))</f>
        <v/>
      </c>
      <c r="N37">
        <f>IF($H37="","",IFERROR(VLOOKUP(LOWER($H37),UnitsTable,2,0),""))</f>
        <v/>
      </c>
      <c r="O37">
        <f>IF($B37="","",IF($D37=$H37,$B37,IF(AND($K37&lt;&gt;"",$L37&lt;&gt;"",$M37=$N37),$B37*$K37/$L37,$B37)))</f>
        <v/>
      </c>
      <c r="P37">
        <f>IF(OR($B37="",$G37=""),0,$O37*$G37)</f>
        <v/>
      </c>
    </row>
    <row r="38">
      <c r="I38">
        <f>IF($A38="","",COUNTIF($A$2:$A38,$A38))</f>
        <v/>
      </c>
      <c r="J38">
        <f>IF($A38="","",$A38&amp;"|"&amp;$I38)</f>
        <v/>
      </c>
      <c r="K38">
        <f>IF($D38="","",IFERROR(VLOOKUP(LOWER($D38),UnitsTable,3,0),""))</f>
        <v/>
      </c>
      <c r="L38">
        <f>IF($H38="","",IFERROR(VLOOKUP(LOWER($H38),UnitsTable,3,0),""))</f>
        <v/>
      </c>
      <c r="M38">
        <f>IF($D38="","",IFERROR(VLOOKUP(LOWER($D38),UnitsTable,2,0),""))</f>
        <v/>
      </c>
      <c r="N38">
        <f>IF($H38="","",IFERROR(VLOOKUP(LOWER($H38),UnitsTable,2,0),""))</f>
        <v/>
      </c>
      <c r="O38">
        <f>IF($B38="","",IF($D38=$H38,$B38,IF(AND($K38&lt;&gt;"",$L38&lt;&gt;"",$M38=$N38),$B38*$K38/$L38,$B38)))</f>
        <v/>
      </c>
      <c r="P38">
        <f>IF(OR($B38="",$G38=""),0,$O38*$G38)</f>
        <v/>
      </c>
    </row>
    <row r="39">
      <c r="I39">
        <f>IF($A39="","",COUNTIF($A$2:$A39,$A39))</f>
        <v/>
      </c>
      <c r="J39">
        <f>IF($A39="","",$A39&amp;"|"&amp;$I39)</f>
        <v/>
      </c>
      <c r="K39">
        <f>IF($D39="","",IFERROR(VLOOKUP(LOWER($D39),UnitsTable,3,0),""))</f>
        <v/>
      </c>
      <c r="L39">
        <f>IF($H39="","",IFERROR(VLOOKUP(LOWER($H39),UnitsTable,3,0),""))</f>
        <v/>
      </c>
      <c r="M39">
        <f>IF($D39="","",IFERROR(VLOOKUP(LOWER($D39),UnitsTable,2,0),""))</f>
        <v/>
      </c>
      <c r="N39">
        <f>IF($H39="","",IFERROR(VLOOKUP(LOWER($H39),UnitsTable,2,0),""))</f>
        <v/>
      </c>
      <c r="O39">
        <f>IF($B39="","",IF($D39=$H39,$B39,IF(AND($K39&lt;&gt;"",$L39&lt;&gt;"",$M39=$N39),$B39*$K39/$L39,$B39)))</f>
        <v/>
      </c>
      <c r="P39">
        <f>IF(OR($B39="",$G39=""),0,$O39*$G39)</f>
        <v/>
      </c>
    </row>
    <row r="40">
      <c r="I40">
        <f>IF($A40="","",COUNTIF($A$2:$A40,$A40))</f>
        <v/>
      </c>
      <c r="J40">
        <f>IF($A40="","",$A40&amp;"|"&amp;$I40)</f>
        <v/>
      </c>
      <c r="K40">
        <f>IF($D40="","",IFERROR(VLOOKUP(LOWER($D40),UnitsTable,3,0),""))</f>
        <v/>
      </c>
      <c r="L40">
        <f>IF($H40="","",IFERROR(VLOOKUP(LOWER($H40),UnitsTable,3,0),""))</f>
        <v/>
      </c>
      <c r="M40">
        <f>IF($D40="","",IFERROR(VLOOKUP(LOWER($D40),UnitsTable,2,0),""))</f>
        <v/>
      </c>
      <c r="N40">
        <f>IF($H40="","",IFERROR(VLOOKUP(LOWER($H40),UnitsTable,2,0),""))</f>
        <v/>
      </c>
      <c r="O40">
        <f>IF($B40="","",IF($D40=$H40,$B40,IF(AND($K40&lt;&gt;"",$L40&lt;&gt;"",$M40=$N40),$B40*$K40/$L40,$B40)))</f>
        <v/>
      </c>
      <c r="P40">
        <f>IF(OR($B40="",$G40=""),0,$O40*$G40)</f>
        <v/>
      </c>
    </row>
    <row r="41">
      <c r="I41">
        <f>IF($A41="","",COUNTIF($A$2:$A41,$A41))</f>
        <v/>
      </c>
      <c r="J41">
        <f>IF($A41="","",$A41&amp;"|"&amp;$I41)</f>
        <v/>
      </c>
      <c r="K41">
        <f>IF($D41="","",IFERROR(VLOOKUP(LOWER($D41),UnitsTable,3,0),""))</f>
        <v/>
      </c>
      <c r="L41">
        <f>IF($H41="","",IFERROR(VLOOKUP(LOWER($H41),UnitsTable,3,0),""))</f>
        <v/>
      </c>
      <c r="M41">
        <f>IF($D41="","",IFERROR(VLOOKUP(LOWER($D41),UnitsTable,2,0),""))</f>
        <v/>
      </c>
      <c r="N41">
        <f>IF($H41="","",IFERROR(VLOOKUP(LOWER($H41),UnitsTable,2,0),""))</f>
        <v/>
      </c>
      <c r="O41">
        <f>IF($B41="","",IF($D41=$H41,$B41,IF(AND($K41&lt;&gt;"",$L41&lt;&gt;"",$M41=$N41),$B41*$K41/$L41,$B41)))</f>
        <v/>
      </c>
      <c r="P41">
        <f>IF(OR($B41="",$G41=""),0,$O41*$G41)</f>
        <v/>
      </c>
    </row>
    <row r="42">
      <c r="I42">
        <f>IF($A42="","",COUNTIF($A$2:$A42,$A42))</f>
        <v/>
      </c>
      <c r="J42">
        <f>IF($A42="","",$A42&amp;"|"&amp;$I42)</f>
        <v/>
      </c>
      <c r="K42">
        <f>IF($D42="","",IFERROR(VLOOKUP(LOWER($D42),UnitsTable,3,0),""))</f>
        <v/>
      </c>
      <c r="L42">
        <f>IF($H42="","",IFERROR(VLOOKUP(LOWER($H42),UnitsTable,3,0),""))</f>
        <v/>
      </c>
      <c r="M42">
        <f>IF($D42="","",IFERROR(VLOOKUP(LOWER($D42),UnitsTable,2,0),""))</f>
        <v/>
      </c>
      <c r="N42">
        <f>IF($H42="","",IFERROR(VLOOKUP(LOWER($H42),UnitsTable,2,0),""))</f>
        <v/>
      </c>
      <c r="O42">
        <f>IF($B42="","",IF($D42=$H42,$B42,IF(AND($K42&lt;&gt;"",$L42&lt;&gt;"",$M42=$N42),$B42*$K42/$L42,$B42)))</f>
        <v/>
      </c>
      <c r="P42">
        <f>IF(OR($B42="",$G42=""),0,$O42*$G42)</f>
        <v/>
      </c>
    </row>
    <row r="43">
      <c r="I43">
        <f>IF($A43="","",COUNTIF($A$2:$A43,$A43))</f>
        <v/>
      </c>
      <c r="J43">
        <f>IF($A43="","",$A43&amp;"|"&amp;$I43)</f>
        <v/>
      </c>
      <c r="K43">
        <f>IF($D43="","",IFERROR(VLOOKUP(LOWER($D43),UnitsTable,3,0),""))</f>
        <v/>
      </c>
      <c r="L43">
        <f>IF($H43="","",IFERROR(VLOOKUP(LOWER($H43),UnitsTable,3,0),""))</f>
        <v/>
      </c>
      <c r="M43">
        <f>IF($D43="","",IFERROR(VLOOKUP(LOWER($D43),UnitsTable,2,0),""))</f>
        <v/>
      </c>
      <c r="N43">
        <f>IF($H43="","",IFERROR(VLOOKUP(LOWER($H43),UnitsTable,2,0),""))</f>
        <v/>
      </c>
      <c r="O43">
        <f>IF($B43="","",IF($D43=$H43,$B43,IF(AND($K43&lt;&gt;"",$L43&lt;&gt;"",$M43=$N43),$B43*$K43/$L43,$B43)))</f>
        <v/>
      </c>
      <c r="P43">
        <f>IF(OR($B43="",$G43=""),0,$O43*$G43)</f>
        <v/>
      </c>
    </row>
    <row r="44">
      <c r="I44">
        <f>IF($A44="","",COUNTIF($A$2:$A44,$A44))</f>
        <v/>
      </c>
      <c r="J44">
        <f>IF($A44="","",$A44&amp;"|"&amp;$I44)</f>
        <v/>
      </c>
      <c r="K44">
        <f>IF($D44="","",IFERROR(VLOOKUP(LOWER($D44),UnitsTable,3,0),""))</f>
        <v/>
      </c>
      <c r="L44">
        <f>IF($H44="","",IFERROR(VLOOKUP(LOWER($H44),UnitsTable,3,0),""))</f>
        <v/>
      </c>
      <c r="M44">
        <f>IF($D44="","",IFERROR(VLOOKUP(LOWER($D44),UnitsTable,2,0),""))</f>
        <v/>
      </c>
      <c r="N44">
        <f>IF($H44="","",IFERROR(VLOOKUP(LOWER($H44),UnitsTable,2,0),""))</f>
        <v/>
      </c>
      <c r="O44">
        <f>IF($B44="","",IF($D44=$H44,$B44,IF(AND($K44&lt;&gt;"",$L44&lt;&gt;"",$M44=$N44),$B44*$K44/$L44,$B44)))</f>
        <v/>
      </c>
      <c r="P44">
        <f>IF(OR($B44="",$G44=""),0,$O44*$G44)</f>
        <v/>
      </c>
    </row>
    <row r="45">
      <c r="I45">
        <f>IF($A45="","",COUNTIF($A$2:$A45,$A45))</f>
        <v/>
      </c>
      <c r="J45">
        <f>IF($A45="","",$A45&amp;"|"&amp;$I45)</f>
        <v/>
      </c>
      <c r="K45">
        <f>IF($D45="","",IFERROR(VLOOKUP(LOWER($D45),UnitsTable,3,0),""))</f>
        <v/>
      </c>
      <c r="L45">
        <f>IF($H45="","",IFERROR(VLOOKUP(LOWER($H45),UnitsTable,3,0),""))</f>
        <v/>
      </c>
      <c r="M45">
        <f>IF($D45="","",IFERROR(VLOOKUP(LOWER($D45),UnitsTable,2,0),""))</f>
        <v/>
      </c>
      <c r="N45">
        <f>IF($H45="","",IFERROR(VLOOKUP(LOWER($H45),UnitsTable,2,0),""))</f>
        <v/>
      </c>
      <c r="O45">
        <f>IF($B45="","",IF($D45=$H45,$B45,IF(AND($K45&lt;&gt;"",$L45&lt;&gt;"",$M45=$N45),$B45*$K45/$L45,$B45)))</f>
        <v/>
      </c>
      <c r="P45">
        <f>IF(OR($B45="",$G45=""),0,$O45*$G45)</f>
        <v/>
      </c>
    </row>
    <row r="46">
      <c r="I46">
        <f>IF($A46="","",COUNTIF($A$2:$A46,$A46))</f>
        <v/>
      </c>
      <c r="J46">
        <f>IF($A46="","",$A46&amp;"|"&amp;$I46)</f>
        <v/>
      </c>
      <c r="K46">
        <f>IF($D46="","",IFERROR(VLOOKUP(LOWER($D46),UnitsTable,3,0),""))</f>
        <v/>
      </c>
      <c r="L46">
        <f>IF($H46="","",IFERROR(VLOOKUP(LOWER($H46),UnitsTable,3,0),""))</f>
        <v/>
      </c>
      <c r="M46">
        <f>IF($D46="","",IFERROR(VLOOKUP(LOWER($D46),UnitsTable,2,0),""))</f>
        <v/>
      </c>
      <c r="N46">
        <f>IF($H46="","",IFERROR(VLOOKUP(LOWER($H46),UnitsTable,2,0),""))</f>
        <v/>
      </c>
      <c r="O46">
        <f>IF($B46="","",IF($D46=$H46,$B46,IF(AND($K46&lt;&gt;"",$L46&lt;&gt;"",$M46=$N46),$B46*$K46/$L46,$B46)))</f>
        <v/>
      </c>
      <c r="P46">
        <f>IF(OR($B46="",$G46=""),0,$O46*$G46)</f>
        <v/>
      </c>
    </row>
    <row r="47">
      <c r="I47">
        <f>IF($A47="","",COUNTIF($A$2:$A47,$A47))</f>
        <v/>
      </c>
      <c r="J47">
        <f>IF($A47="","",$A47&amp;"|"&amp;$I47)</f>
        <v/>
      </c>
      <c r="K47">
        <f>IF($D47="","",IFERROR(VLOOKUP(LOWER($D47),UnitsTable,3,0),""))</f>
        <v/>
      </c>
      <c r="L47">
        <f>IF($H47="","",IFERROR(VLOOKUP(LOWER($H47),UnitsTable,3,0),""))</f>
        <v/>
      </c>
      <c r="M47">
        <f>IF($D47="","",IFERROR(VLOOKUP(LOWER($D47),UnitsTable,2,0),""))</f>
        <v/>
      </c>
      <c r="N47">
        <f>IF($H47="","",IFERROR(VLOOKUP(LOWER($H47),UnitsTable,2,0),""))</f>
        <v/>
      </c>
      <c r="O47">
        <f>IF($B47="","",IF($D47=$H47,$B47,IF(AND($K47&lt;&gt;"",$L47&lt;&gt;"",$M47=$N47),$B47*$K47/$L47,$B47)))</f>
        <v/>
      </c>
      <c r="P47">
        <f>IF(OR($B47="",$G47=""),0,$O47*$G47)</f>
        <v/>
      </c>
    </row>
    <row r="48">
      <c r="I48">
        <f>IF($A48="","",COUNTIF($A$2:$A48,$A48))</f>
        <v/>
      </c>
      <c r="J48">
        <f>IF($A48="","",$A48&amp;"|"&amp;$I48)</f>
        <v/>
      </c>
      <c r="K48">
        <f>IF($D48="","",IFERROR(VLOOKUP(LOWER($D48),UnitsTable,3,0),""))</f>
        <v/>
      </c>
      <c r="L48">
        <f>IF($H48="","",IFERROR(VLOOKUP(LOWER($H48),UnitsTable,3,0),""))</f>
        <v/>
      </c>
      <c r="M48">
        <f>IF($D48="","",IFERROR(VLOOKUP(LOWER($D48),UnitsTable,2,0),""))</f>
        <v/>
      </c>
      <c r="N48">
        <f>IF($H48="","",IFERROR(VLOOKUP(LOWER($H48),UnitsTable,2,0),""))</f>
        <v/>
      </c>
      <c r="O48">
        <f>IF($B48="","",IF($D48=$H48,$B48,IF(AND($K48&lt;&gt;"",$L48&lt;&gt;"",$M48=$N48),$B48*$K48/$L48,$B48)))</f>
        <v/>
      </c>
      <c r="P48">
        <f>IF(OR($B48="",$G48=""),0,$O48*$G48)</f>
        <v/>
      </c>
    </row>
    <row r="49">
      <c r="I49">
        <f>IF($A49="","",COUNTIF($A$2:$A49,$A49))</f>
        <v/>
      </c>
      <c r="J49">
        <f>IF($A49="","",$A49&amp;"|"&amp;$I49)</f>
        <v/>
      </c>
      <c r="K49">
        <f>IF($D49="","",IFERROR(VLOOKUP(LOWER($D49),UnitsTable,3,0),""))</f>
        <v/>
      </c>
      <c r="L49">
        <f>IF($H49="","",IFERROR(VLOOKUP(LOWER($H49),UnitsTable,3,0),""))</f>
        <v/>
      </c>
      <c r="M49">
        <f>IF($D49="","",IFERROR(VLOOKUP(LOWER($D49),UnitsTable,2,0),""))</f>
        <v/>
      </c>
      <c r="N49">
        <f>IF($H49="","",IFERROR(VLOOKUP(LOWER($H49),UnitsTable,2,0),""))</f>
        <v/>
      </c>
      <c r="O49">
        <f>IF($B49="","",IF($D49=$H49,$B49,IF(AND($K49&lt;&gt;"",$L49&lt;&gt;"",$M49=$N49),$B49*$K49/$L49,$B49)))</f>
        <v/>
      </c>
      <c r="P49">
        <f>IF(OR($B49="",$G49=""),0,$O49*$G49)</f>
        <v/>
      </c>
    </row>
    <row r="50">
      <c r="I50">
        <f>IF($A50="","",COUNTIF($A$2:$A50,$A50))</f>
        <v/>
      </c>
      <c r="J50">
        <f>IF($A50="","",$A50&amp;"|"&amp;$I50)</f>
        <v/>
      </c>
      <c r="K50">
        <f>IF($D50="","",IFERROR(VLOOKUP(LOWER($D50),UnitsTable,3,0),""))</f>
        <v/>
      </c>
      <c r="L50">
        <f>IF($H50="","",IFERROR(VLOOKUP(LOWER($H50),UnitsTable,3,0),""))</f>
        <v/>
      </c>
      <c r="M50">
        <f>IF($D50="","",IFERROR(VLOOKUP(LOWER($D50),UnitsTable,2,0),""))</f>
        <v/>
      </c>
      <c r="N50">
        <f>IF($H50="","",IFERROR(VLOOKUP(LOWER($H50),UnitsTable,2,0),""))</f>
        <v/>
      </c>
      <c r="O50">
        <f>IF($B50="","",IF($D50=$H50,$B50,IF(AND($K50&lt;&gt;"",$L50&lt;&gt;"",$M50=$N50),$B50*$K50/$L50,$B50)))</f>
        <v/>
      </c>
      <c r="P50">
        <f>IF(OR($B50="",$G50=""),0,$O50*$G50)</f>
        <v/>
      </c>
    </row>
    <row r="51">
      <c r="I51">
        <f>IF($A51="","",COUNTIF($A$2:$A51,$A51))</f>
        <v/>
      </c>
      <c r="J51">
        <f>IF($A51="","",$A51&amp;"|"&amp;$I51)</f>
        <v/>
      </c>
      <c r="K51">
        <f>IF($D51="","",IFERROR(VLOOKUP(LOWER($D51),UnitsTable,3,0),""))</f>
        <v/>
      </c>
      <c r="L51">
        <f>IF($H51="","",IFERROR(VLOOKUP(LOWER($H51),UnitsTable,3,0),""))</f>
        <v/>
      </c>
      <c r="M51">
        <f>IF($D51="","",IFERROR(VLOOKUP(LOWER($D51),UnitsTable,2,0),""))</f>
        <v/>
      </c>
      <c r="N51">
        <f>IF($H51="","",IFERROR(VLOOKUP(LOWER($H51),UnitsTable,2,0),""))</f>
        <v/>
      </c>
      <c r="O51">
        <f>IF($B51="","",IF($D51=$H51,$B51,IF(AND($K51&lt;&gt;"",$L51&lt;&gt;"",$M51=$N51),$B51*$K51/$L51,$B51)))</f>
        <v/>
      </c>
      <c r="P51">
        <f>IF(OR($B51="",$G51=""),0,$O51*$G51)</f>
        <v/>
      </c>
    </row>
    <row r="52">
      <c r="I52">
        <f>IF($A52="","",COUNTIF($A$2:$A52,$A52))</f>
        <v/>
      </c>
      <c r="J52">
        <f>IF($A52="","",$A52&amp;"|"&amp;$I52)</f>
        <v/>
      </c>
      <c r="K52">
        <f>IF($D52="","",IFERROR(VLOOKUP(LOWER($D52),UnitsTable,3,0),""))</f>
        <v/>
      </c>
      <c r="L52">
        <f>IF($H52="","",IFERROR(VLOOKUP(LOWER($H52),UnitsTable,3,0),""))</f>
        <v/>
      </c>
      <c r="M52">
        <f>IF($D52="","",IFERROR(VLOOKUP(LOWER($D52),UnitsTable,2,0),""))</f>
        <v/>
      </c>
      <c r="N52">
        <f>IF($H52="","",IFERROR(VLOOKUP(LOWER($H52),UnitsTable,2,0),""))</f>
        <v/>
      </c>
      <c r="O52">
        <f>IF($B52="","",IF($D52=$H52,$B52,IF(AND($K52&lt;&gt;"",$L52&lt;&gt;"",$M52=$N52),$B52*$K52/$L52,$B52)))</f>
        <v/>
      </c>
      <c r="P52">
        <f>IF(OR($B52="",$G52=""),0,$O52*$G52)</f>
        <v/>
      </c>
    </row>
    <row r="53">
      <c r="I53">
        <f>IF($A53="","",COUNTIF($A$2:$A53,$A53))</f>
        <v/>
      </c>
      <c r="J53">
        <f>IF($A53="","",$A53&amp;"|"&amp;$I53)</f>
        <v/>
      </c>
      <c r="K53">
        <f>IF($D53="","",IFERROR(VLOOKUP(LOWER($D53),UnitsTable,3,0),""))</f>
        <v/>
      </c>
      <c r="L53">
        <f>IF($H53="","",IFERROR(VLOOKUP(LOWER($H53),UnitsTable,3,0),""))</f>
        <v/>
      </c>
      <c r="M53">
        <f>IF($D53="","",IFERROR(VLOOKUP(LOWER($D53),UnitsTable,2,0),""))</f>
        <v/>
      </c>
      <c r="N53">
        <f>IF($H53="","",IFERROR(VLOOKUP(LOWER($H53),UnitsTable,2,0),""))</f>
        <v/>
      </c>
      <c r="O53">
        <f>IF($B53="","",IF($D53=$H53,$B53,IF(AND($K53&lt;&gt;"",$L53&lt;&gt;"",$M53=$N53),$B53*$K53/$L53,$B53)))</f>
        <v/>
      </c>
      <c r="P53">
        <f>IF(OR($B53="",$G53=""),0,$O53*$G53)</f>
        <v/>
      </c>
    </row>
    <row r="54">
      <c r="I54">
        <f>IF($A54="","",COUNTIF($A$2:$A54,$A54))</f>
        <v/>
      </c>
      <c r="J54">
        <f>IF($A54="","",$A54&amp;"|"&amp;$I54)</f>
        <v/>
      </c>
      <c r="K54">
        <f>IF($D54="","",IFERROR(VLOOKUP(LOWER($D54),UnitsTable,3,0),""))</f>
        <v/>
      </c>
      <c r="L54">
        <f>IF($H54="","",IFERROR(VLOOKUP(LOWER($H54),UnitsTable,3,0),""))</f>
        <v/>
      </c>
      <c r="M54">
        <f>IF($D54="","",IFERROR(VLOOKUP(LOWER($D54),UnitsTable,2,0),""))</f>
        <v/>
      </c>
      <c r="N54">
        <f>IF($H54="","",IFERROR(VLOOKUP(LOWER($H54),UnitsTable,2,0),""))</f>
        <v/>
      </c>
      <c r="O54">
        <f>IF($B54="","",IF($D54=$H54,$B54,IF(AND($K54&lt;&gt;"",$L54&lt;&gt;"",$M54=$N54),$B54*$K54/$L54,$B54)))</f>
        <v/>
      </c>
      <c r="P54">
        <f>IF(OR($B54="",$G54=""),0,$O54*$G54)</f>
        <v/>
      </c>
    </row>
    <row r="55">
      <c r="I55">
        <f>IF($A55="","",COUNTIF($A$2:$A55,$A55))</f>
        <v/>
      </c>
      <c r="J55">
        <f>IF($A55="","",$A55&amp;"|"&amp;$I55)</f>
        <v/>
      </c>
      <c r="K55">
        <f>IF($D55="","",IFERROR(VLOOKUP(LOWER($D55),UnitsTable,3,0),""))</f>
        <v/>
      </c>
      <c r="L55">
        <f>IF($H55="","",IFERROR(VLOOKUP(LOWER($H55),UnitsTable,3,0),""))</f>
        <v/>
      </c>
      <c r="M55">
        <f>IF($D55="","",IFERROR(VLOOKUP(LOWER($D55),UnitsTable,2,0),""))</f>
        <v/>
      </c>
      <c r="N55">
        <f>IF($H55="","",IFERROR(VLOOKUP(LOWER($H55),UnitsTable,2,0),""))</f>
        <v/>
      </c>
      <c r="O55">
        <f>IF($B55="","",IF($D55=$H55,$B55,IF(AND($K55&lt;&gt;"",$L55&lt;&gt;"",$M55=$N55),$B55*$K55/$L55,$B55)))</f>
        <v/>
      </c>
      <c r="P55">
        <f>IF(OR($B55="",$G55=""),0,$O55*$G55)</f>
        <v/>
      </c>
    </row>
    <row r="56">
      <c r="I56">
        <f>IF($A56="","",COUNTIF($A$2:$A56,$A56))</f>
        <v/>
      </c>
      <c r="J56">
        <f>IF($A56="","",$A56&amp;"|"&amp;$I56)</f>
        <v/>
      </c>
      <c r="K56">
        <f>IF($D56="","",IFERROR(VLOOKUP(LOWER($D56),UnitsTable,3,0),""))</f>
        <v/>
      </c>
      <c r="L56">
        <f>IF($H56="","",IFERROR(VLOOKUP(LOWER($H56),UnitsTable,3,0),""))</f>
        <v/>
      </c>
      <c r="M56">
        <f>IF($D56="","",IFERROR(VLOOKUP(LOWER($D56),UnitsTable,2,0),""))</f>
        <v/>
      </c>
      <c r="N56">
        <f>IF($H56="","",IFERROR(VLOOKUP(LOWER($H56),UnitsTable,2,0),""))</f>
        <v/>
      </c>
      <c r="O56">
        <f>IF($B56="","",IF($D56=$H56,$B56,IF(AND($K56&lt;&gt;"",$L56&lt;&gt;"",$M56=$N56),$B56*$K56/$L56,$B56)))</f>
        <v/>
      </c>
      <c r="P56">
        <f>IF(OR($B56="",$G56=""),0,$O56*$G56)</f>
        <v/>
      </c>
    </row>
    <row r="57">
      <c r="I57">
        <f>IF($A57="","",COUNTIF($A$2:$A57,$A57))</f>
        <v/>
      </c>
      <c r="J57">
        <f>IF($A57="","",$A57&amp;"|"&amp;$I57)</f>
        <v/>
      </c>
      <c r="K57">
        <f>IF($D57="","",IFERROR(VLOOKUP(LOWER($D57),UnitsTable,3,0),""))</f>
        <v/>
      </c>
      <c r="L57">
        <f>IF($H57="","",IFERROR(VLOOKUP(LOWER($H57),UnitsTable,3,0),""))</f>
        <v/>
      </c>
      <c r="M57">
        <f>IF($D57="","",IFERROR(VLOOKUP(LOWER($D57),UnitsTable,2,0),""))</f>
        <v/>
      </c>
      <c r="N57">
        <f>IF($H57="","",IFERROR(VLOOKUP(LOWER($H57),UnitsTable,2,0),""))</f>
        <v/>
      </c>
      <c r="O57">
        <f>IF($B57="","",IF($D57=$H57,$B57,IF(AND($K57&lt;&gt;"",$L57&lt;&gt;"",$M57=$N57),$B57*$K57/$L57,$B57)))</f>
        <v/>
      </c>
      <c r="P57">
        <f>IF(OR($B57="",$G57=""),0,$O57*$G57)</f>
        <v/>
      </c>
    </row>
    <row r="58">
      <c r="I58">
        <f>IF($A58="","",COUNTIF($A$2:$A58,$A58))</f>
        <v/>
      </c>
      <c r="J58">
        <f>IF($A58="","",$A58&amp;"|"&amp;$I58)</f>
        <v/>
      </c>
      <c r="K58">
        <f>IF($D58="","",IFERROR(VLOOKUP(LOWER($D58),UnitsTable,3,0),""))</f>
        <v/>
      </c>
      <c r="L58">
        <f>IF($H58="","",IFERROR(VLOOKUP(LOWER($H58),UnitsTable,3,0),""))</f>
        <v/>
      </c>
      <c r="M58">
        <f>IF($D58="","",IFERROR(VLOOKUP(LOWER($D58),UnitsTable,2,0),""))</f>
        <v/>
      </c>
      <c r="N58">
        <f>IF($H58="","",IFERROR(VLOOKUP(LOWER($H58),UnitsTable,2,0),""))</f>
        <v/>
      </c>
      <c r="O58">
        <f>IF($B58="","",IF($D58=$H58,$B58,IF(AND($K58&lt;&gt;"",$L58&lt;&gt;"",$M58=$N58),$B58*$K58/$L58,$B58)))</f>
        <v/>
      </c>
      <c r="P58">
        <f>IF(OR($B58="",$G58=""),0,$O58*$G58)</f>
        <v/>
      </c>
    </row>
    <row r="59">
      <c r="I59">
        <f>IF($A59="","",COUNTIF($A$2:$A59,$A59))</f>
        <v/>
      </c>
      <c r="J59">
        <f>IF($A59="","",$A59&amp;"|"&amp;$I59)</f>
        <v/>
      </c>
      <c r="K59">
        <f>IF($D59="","",IFERROR(VLOOKUP(LOWER($D59),UnitsTable,3,0),""))</f>
        <v/>
      </c>
      <c r="L59">
        <f>IF($H59="","",IFERROR(VLOOKUP(LOWER($H59),UnitsTable,3,0),""))</f>
        <v/>
      </c>
      <c r="M59">
        <f>IF($D59="","",IFERROR(VLOOKUP(LOWER($D59),UnitsTable,2,0),""))</f>
        <v/>
      </c>
      <c r="N59">
        <f>IF($H59="","",IFERROR(VLOOKUP(LOWER($H59),UnitsTable,2,0),""))</f>
        <v/>
      </c>
      <c r="O59">
        <f>IF($B59="","",IF($D59=$H59,$B59,IF(AND($K59&lt;&gt;"",$L59&lt;&gt;"",$M59=$N59),$B59*$K59/$L59,$B59)))</f>
        <v/>
      </c>
      <c r="P59">
        <f>IF(OR($B59="",$G59=""),0,$O59*$G59)</f>
        <v/>
      </c>
    </row>
    <row r="60">
      <c r="I60">
        <f>IF($A60="","",COUNTIF($A$2:$A60,$A60))</f>
        <v/>
      </c>
      <c r="J60">
        <f>IF($A60="","",$A60&amp;"|"&amp;$I60)</f>
        <v/>
      </c>
      <c r="K60">
        <f>IF($D60="","",IFERROR(VLOOKUP(LOWER($D60),UnitsTable,3,0),""))</f>
        <v/>
      </c>
      <c r="L60">
        <f>IF($H60="","",IFERROR(VLOOKUP(LOWER($H60),UnitsTable,3,0),""))</f>
        <v/>
      </c>
      <c r="M60">
        <f>IF($D60="","",IFERROR(VLOOKUP(LOWER($D60),UnitsTable,2,0),""))</f>
        <v/>
      </c>
      <c r="N60">
        <f>IF($H60="","",IFERROR(VLOOKUP(LOWER($H60),UnitsTable,2,0),""))</f>
        <v/>
      </c>
      <c r="O60">
        <f>IF($B60="","",IF($D60=$H60,$B60,IF(AND($K60&lt;&gt;"",$L60&lt;&gt;"",$M60=$N60),$B60*$K60/$L60,$B60)))</f>
        <v/>
      </c>
      <c r="P60">
        <f>IF(OR($B60="",$G60=""),0,$O60*$G60)</f>
        <v/>
      </c>
    </row>
    <row r="61">
      <c r="I61">
        <f>IF($A61="","",COUNTIF($A$2:$A61,$A61))</f>
        <v/>
      </c>
      <c r="J61">
        <f>IF($A61="","",$A61&amp;"|"&amp;$I61)</f>
        <v/>
      </c>
      <c r="K61">
        <f>IF($D61="","",IFERROR(VLOOKUP(LOWER($D61),UnitsTable,3,0),""))</f>
        <v/>
      </c>
      <c r="L61">
        <f>IF($H61="","",IFERROR(VLOOKUP(LOWER($H61),UnitsTable,3,0),""))</f>
        <v/>
      </c>
      <c r="M61">
        <f>IF($D61="","",IFERROR(VLOOKUP(LOWER($D61),UnitsTable,2,0),""))</f>
        <v/>
      </c>
      <c r="N61">
        <f>IF($H61="","",IFERROR(VLOOKUP(LOWER($H61),UnitsTable,2,0),""))</f>
        <v/>
      </c>
      <c r="O61">
        <f>IF($B61="","",IF($D61=$H61,$B61,IF(AND($K61&lt;&gt;"",$L61&lt;&gt;"",$M61=$N61),$B61*$K61/$L61,$B61)))</f>
        <v/>
      </c>
      <c r="P61">
        <f>IF(OR($B61="",$G61=""),0,$O61*$G61)</f>
        <v/>
      </c>
    </row>
    <row r="62">
      <c r="I62">
        <f>IF($A62="","",COUNTIF($A$2:$A62,$A62))</f>
        <v/>
      </c>
      <c r="J62">
        <f>IF($A62="","",$A62&amp;"|"&amp;$I62)</f>
        <v/>
      </c>
      <c r="K62">
        <f>IF($D62="","",IFERROR(VLOOKUP(LOWER($D62),UnitsTable,3,0),""))</f>
        <v/>
      </c>
      <c r="L62">
        <f>IF($H62="","",IFERROR(VLOOKUP(LOWER($H62),UnitsTable,3,0),""))</f>
        <v/>
      </c>
      <c r="M62">
        <f>IF($D62="","",IFERROR(VLOOKUP(LOWER($D62),UnitsTable,2,0),""))</f>
        <v/>
      </c>
      <c r="N62">
        <f>IF($H62="","",IFERROR(VLOOKUP(LOWER($H62),UnitsTable,2,0),""))</f>
        <v/>
      </c>
      <c r="O62">
        <f>IF($B62="","",IF($D62=$H62,$B62,IF(AND($K62&lt;&gt;"",$L62&lt;&gt;"",$M62=$N62),$B62*$K62/$L62,$B62)))</f>
        <v/>
      </c>
      <c r="P62">
        <f>IF(OR($B62="",$G62=""),0,$O62*$G62)</f>
        <v/>
      </c>
    </row>
    <row r="63">
      <c r="I63">
        <f>IF($A63="","",COUNTIF($A$2:$A63,$A63))</f>
        <v/>
      </c>
      <c r="J63">
        <f>IF($A63="","",$A63&amp;"|"&amp;$I63)</f>
        <v/>
      </c>
      <c r="K63">
        <f>IF($D63="","",IFERROR(VLOOKUP(LOWER($D63),UnitsTable,3,0),""))</f>
        <v/>
      </c>
      <c r="L63">
        <f>IF($H63="","",IFERROR(VLOOKUP(LOWER($H63),UnitsTable,3,0),""))</f>
        <v/>
      </c>
      <c r="M63">
        <f>IF($D63="","",IFERROR(VLOOKUP(LOWER($D63),UnitsTable,2,0),""))</f>
        <v/>
      </c>
      <c r="N63">
        <f>IF($H63="","",IFERROR(VLOOKUP(LOWER($H63),UnitsTable,2,0),""))</f>
        <v/>
      </c>
      <c r="O63">
        <f>IF($B63="","",IF($D63=$H63,$B63,IF(AND($K63&lt;&gt;"",$L63&lt;&gt;"",$M63=$N63),$B63*$K63/$L63,$B63)))</f>
        <v/>
      </c>
      <c r="P63">
        <f>IF(OR($B63="",$G63=""),0,$O63*$G63)</f>
        <v/>
      </c>
    </row>
    <row r="64">
      <c r="I64">
        <f>IF($A64="","",COUNTIF($A$2:$A64,$A64))</f>
        <v/>
      </c>
      <c r="J64">
        <f>IF($A64="","",$A64&amp;"|"&amp;$I64)</f>
        <v/>
      </c>
      <c r="K64">
        <f>IF($D64="","",IFERROR(VLOOKUP(LOWER($D64),UnitsTable,3,0),""))</f>
        <v/>
      </c>
      <c r="L64">
        <f>IF($H64="","",IFERROR(VLOOKUP(LOWER($H64),UnitsTable,3,0),""))</f>
        <v/>
      </c>
      <c r="M64">
        <f>IF($D64="","",IFERROR(VLOOKUP(LOWER($D64),UnitsTable,2,0),""))</f>
        <v/>
      </c>
      <c r="N64">
        <f>IF($H64="","",IFERROR(VLOOKUP(LOWER($H64),UnitsTable,2,0),""))</f>
        <v/>
      </c>
      <c r="O64">
        <f>IF($B64="","",IF($D64=$H64,$B64,IF(AND($K64&lt;&gt;"",$L64&lt;&gt;"",$M64=$N64),$B64*$K64/$L64,$B64)))</f>
        <v/>
      </c>
      <c r="P64">
        <f>IF(OR($B64="",$G64=""),0,$O64*$G64)</f>
        <v/>
      </c>
    </row>
    <row r="65">
      <c r="I65">
        <f>IF($A65="","",COUNTIF($A$2:$A65,$A65))</f>
        <v/>
      </c>
      <c r="J65">
        <f>IF($A65="","",$A65&amp;"|"&amp;$I65)</f>
        <v/>
      </c>
      <c r="K65">
        <f>IF($D65="","",IFERROR(VLOOKUP(LOWER($D65),UnitsTable,3,0),""))</f>
        <v/>
      </c>
      <c r="L65">
        <f>IF($H65="","",IFERROR(VLOOKUP(LOWER($H65),UnitsTable,3,0),""))</f>
        <v/>
      </c>
      <c r="M65">
        <f>IF($D65="","",IFERROR(VLOOKUP(LOWER($D65),UnitsTable,2,0),""))</f>
        <v/>
      </c>
      <c r="N65">
        <f>IF($H65="","",IFERROR(VLOOKUP(LOWER($H65),UnitsTable,2,0),""))</f>
        <v/>
      </c>
      <c r="O65">
        <f>IF($B65="","",IF($D65=$H65,$B65,IF(AND($K65&lt;&gt;"",$L65&lt;&gt;"",$M65=$N65),$B65*$K65/$L65,$B65)))</f>
        <v/>
      </c>
      <c r="P65">
        <f>IF(OR($B65="",$G65=""),0,$O65*$G65)</f>
        <v/>
      </c>
    </row>
    <row r="66">
      <c r="I66">
        <f>IF($A66="","",COUNTIF($A$2:$A66,$A66))</f>
        <v/>
      </c>
      <c r="J66">
        <f>IF($A66="","",$A66&amp;"|"&amp;$I66)</f>
        <v/>
      </c>
      <c r="K66">
        <f>IF($D66="","",IFERROR(VLOOKUP(LOWER($D66),UnitsTable,3,0),""))</f>
        <v/>
      </c>
      <c r="L66">
        <f>IF($H66="","",IFERROR(VLOOKUP(LOWER($H66),UnitsTable,3,0),""))</f>
        <v/>
      </c>
      <c r="M66">
        <f>IF($D66="","",IFERROR(VLOOKUP(LOWER($D66),UnitsTable,2,0),""))</f>
        <v/>
      </c>
      <c r="N66">
        <f>IF($H66="","",IFERROR(VLOOKUP(LOWER($H66),UnitsTable,2,0),""))</f>
        <v/>
      </c>
      <c r="O66">
        <f>IF($B66="","",IF($D66=$H66,$B66,IF(AND($K66&lt;&gt;"",$L66&lt;&gt;"",$M66=$N66),$B66*$K66/$L66,$B66)))</f>
        <v/>
      </c>
      <c r="P66">
        <f>IF(OR($B66="",$G66=""),0,$O66*$G66)</f>
        <v/>
      </c>
    </row>
    <row r="67">
      <c r="I67">
        <f>IF($A67="","",COUNTIF($A$2:$A67,$A67))</f>
        <v/>
      </c>
      <c r="J67">
        <f>IF($A67="","",$A67&amp;"|"&amp;$I67)</f>
        <v/>
      </c>
      <c r="K67">
        <f>IF($D67="","",IFERROR(VLOOKUP(LOWER($D67),UnitsTable,3,0),""))</f>
        <v/>
      </c>
      <c r="L67">
        <f>IF($H67="","",IFERROR(VLOOKUP(LOWER($H67),UnitsTable,3,0),""))</f>
        <v/>
      </c>
      <c r="M67">
        <f>IF($D67="","",IFERROR(VLOOKUP(LOWER($D67),UnitsTable,2,0),""))</f>
        <v/>
      </c>
      <c r="N67">
        <f>IF($H67="","",IFERROR(VLOOKUP(LOWER($H67),UnitsTable,2,0),""))</f>
        <v/>
      </c>
      <c r="O67">
        <f>IF($B67="","",IF($D67=$H67,$B67,IF(AND($K67&lt;&gt;"",$L67&lt;&gt;"",$M67=$N67),$B67*$K67/$L67,$B67)))</f>
        <v/>
      </c>
      <c r="P67">
        <f>IF(OR($B67="",$G67=""),0,$O67*$G67)</f>
        <v/>
      </c>
    </row>
    <row r="68">
      <c r="I68">
        <f>IF($A68="","",COUNTIF($A$2:$A68,$A68))</f>
        <v/>
      </c>
      <c r="J68">
        <f>IF($A68="","",$A68&amp;"|"&amp;$I68)</f>
        <v/>
      </c>
      <c r="K68">
        <f>IF($D68="","",IFERROR(VLOOKUP(LOWER($D68),UnitsTable,3,0),""))</f>
        <v/>
      </c>
      <c r="L68">
        <f>IF($H68="","",IFERROR(VLOOKUP(LOWER($H68),UnitsTable,3,0),""))</f>
        <v/>
      </c>
      <c r="M68">
        <f>IF($D68="","",IFERROR(VLOOKUP(LOWER($D68),UnitsTable,2,0),""))</f>
        <v/>
      </c>
      <c r="N68">
        <f>IF($H68="","",IFERROR(VLOOKUP(LOWER($H68),UnitsTable,2,0),""))</f>
        <v/>
      </c>
      <c r="O68">
        <f>IF($B68="","",IF($D68=$H68,$B68,IF(AND($K68&lt;&gt;"",$L68&lt;&gt;"",$M68=$N68),$B68*$K68/$L68,$B68)))</f>
        <v/>
      </c>
      <c r="P68">
        <f>IF(OR($B68="",$G68=""),0,$O68*$G68)</f>
        <v/>
      </c>
    </row>
    <row r="69">
      <c r="I69">
        <f>IF($A69="","",COUNTIF($A$2:$A69,$A69))</f>
        <v/>
      </c>
      <c r="J69">
        <f>IF($A69="","",$A69&amp;"|"&amp;$I69)</f>
        <v/>
      </c>
      <c r="K69">
        <f>IF($D69="","",IFERROR(VLOOKUP(LOWER($D69),UnitsTable,3,0),""))</f>
        <v/>
      </c>
      <c r="L69">
        <f>IF($H69="","",IFERROR(VLOOKUP(LOWER($H69),UnitsTable,3,0),""))</f>
        <v/>
      </c>
      <c r="M69">
        <f>IF($D69="","",IFERROR(VLOOKUP(LOWER($D69),UnitsTable,2,0),""))</f>
        <v/>
      </c>
      <c r="N69">
        <f>IF($H69="","",IFERROR(VLOOKUP(LOWER($H69),UnitsTable,2,0),""))</f>
        <v/>
      </c>
      <c r="O69">
        <f>IF($B69="","",IF($D69=$H69,$B69,IF(AND($K69&lt;&gt;"",$L69&lt;&gt;"",$M69=$N69),$B69*$K69/$L69,$B69)))</f>
        <v/>
      </c>
      <c r="P69">
        <f>IF(OR($B69="",$G69=""),0,$O69*$G69)</f>
        <v/>
      </c>
    </row>
    <row r="70">
      <c r="I70">
        <f>IF($A70="","",COUNTIF($A$2:$A70,$A70))</f>
        <v/>
      </c>
      <c r="J70">
        <f>IF($A70="","",$A70&amp;"|"&amp;$I70)</f>
        <v/>
      </c>
      <c r="K70">
        <f>IF($D70="","",IFERROR(VLOOKUP(LOWER($D70),UnitsTable,3,0),""))</f>
        <v/>
      </c>
      <c r="L70">
        <f>IF($H70="","",IFERROR(VLOOKUP(LOWER($H70),UnitsTable,3,0),""))</f>
        <v/>
      </c>
      <c r="M70">
        <f>IF($D70="","",IFERROR(VLOOKUP(LOWER($D70),UnitsTable,2,0),""))</f>
        <v/>
      </c>
      <c r="N70">
        <f>IF($H70="","",IFERROR(VLOOKUP(LOWER($H70),UnitsTable,2,0),""))</f>
        <v/>
      </c>
      <c r="O70">
        <f>IF($B70="","",IF($D70=$H70,$B70,IF(AND($K70&lt;&gt;"",$L70&lt;&gt;"",$M70=$N70),$B70*$K70/$L70,$B70)))</f>
        <v/>
      </c>
      <c r="P70">
        <f>IF(OR($B70="",$G70=""),0,$O70*$G70)</f>
        <v/>
      </c>
    </row>
    <row r="71">
      <c r="I71">
        <f>IF($A71="","",COUNTIF($A$2:$A71,$A71))</f>
        <v/>
      </c>
      <c r="J71">
        <f>IF($A71="","",$A71&amp;"|"&amp;$I71)</f>
        <v/>
      </c>
      <c r="K71">
        <f>IF($D71="","",IFERROR(VLOOKUP(LOWER($D71),UnitsTable,3,0),""))</f>
        <v/>
      </c>
      <c r="L71">
        <f>IF($H71="","",IFERROR(VLOOKUP(LOWER($H71),UnitsTable,3,0),""))</f>
        <v/>
      </c>
      <c r="M71">
        <f>IF($D71="","",IFERROR(VLOOKUP(LOWER($D71),UnitsTable,2,0),""))</f>
        <v/>
      </c>
      <c r="N71">
        <f>IF($H71="","",IFERROR(VLOOKUP(LOWER($H71),UnitsTable,2,0),""))</f>
        <v/>
      </c>
      <c r="O71">
        <f>IF($B71="","",IF($D71=$H71,$B71,IF(AND($K71&lt;&gt;"",$L71&lt;&gt;"",$M71=$N71),$B71*$K71/$L71,$B71)))</f>
        <v/>
      </c>
      <c r="P71">
        <f>IF(OR($B71="",$G71=""),0,$O71*$G71)</f>
        <v/>
      </c>
    </row>
    <row r="72">
      <c r="I72">
        <f>IF($A72="","",COUNTIF($A$2:$A72,$A72))</f>
        <v/>
      </c>
      <c r="J72">
        <f>IF($A72="","",$A72&amp;"|"&amp;$I72)</f>
        <v/>
      </c>
      <c r="K72">
        <f>IF($D72="","",IFERROR(VLOOKUP(LOWER($D72),UnitsTable,3,0),""))</f>
        <v/>
      </c>
      <c r="L72">
        <f>IF($H72="","",IFERROR(VLOOKUP(LOWER($H72),UnitsTable,3,0),""))</f>
        <v/>
      </c>
      <c r="M72">
        <f>IF($D72="","",IFERROR(VLOOKUP(LOWER($D72),UnitsTable,2,0),""))</f>
        <v/>
      </c>
      <c r="N72">
        <f>IF($H72="","",IFERROR(VLOOKUP(LOWER($H72),UnitsTable,2,0),""))</f>
        <v/>
      </c>
      <c r="O72">
        <f>IF($B72="","",IF($D72=$H72,$B72,IF(AND($K72&lt;&gt;"",$L72&lt;&gt;"",$M72=$N72),$B72*$K72/$L72,$B72)))</f>
        <v/>
      </c>
      <c r="P72">
        <f>IF(OR($B72="",$G72=""),0,$O72*$G72)</f>
        <v/>
      </c>
    </row>
    <row r="73">
      <c r="I73">
        <f>IF($A73="","",COUNTIF($A$2:$A73,$A73))</f>
        <v/>
      </c>
      <c r="J73">
        <f>IF($A73="","",$A73&amp;"|"&amp;$I73)</f>
        <v/>
      </c>
      <c r="K73">
        <f>IF($D73="","",IFERROR(VLOOKUP(LOWER($D73),UnitsTable,3,0),""))</f>
        <v/>
      </c>
      <c r="L73">
        <f>IF($H73="","",IFERROR(VLOOKUP(LOWER($H73),UnitsTable,3,0),""))</f>
        <v/>
      </c>
      <c r="M73">
        <f>IF($D73="","",IFERROR(VLOOKUP(LOWER($D73),UnitsTable,2,0),""))</f>
        <v/>
      </c>
      <c r="N73">
        <f>IF($H73="","",IFERROR(VLOOKUP(LOWER($H73),UnitsTable,2,0),""))</f>
        <v/>
      </c>
      <c r="O73">
        <f>IF($B73="","",IF($D73=$H73,$B73,IF(AND($K73&lt;&gt;"",$L73&lt;&gt;"",$M73=$N73),$B73*$K73/$L73,$B73)))</f>
        <v/>
      </c>
      <c r="P73">
        <f>IF(OR($B73="",$G73=""),0,$O73*$G73)</f>
        <v/>
      </c>
    </row>
    <row r="74">
      <c r="I74">
        <f>IF($A74="","",COUNTIF($A$2:$A74,$A74))</f>
        <v/>
      </c>
      <c r="J74">
        <f>IF($A74="","",$A74&amp;"|"&amp;$I74)</f>
        <v/>
      </c>
      <c r="K74">
        <f>IF($D74="","",IFERROR(VLOOKUP(LOWER($D74),UnitsTable,3,0),""))</f>
        <v/>
      </c>
      <c r="L74">
        <f>IF($H74="","",IFERROR(VLOOKUP(LOWER($H74),UnitsTable,3,0),""))</f>
        <v/>
      </c>
      <c r="M74">
        <f>IF($D74="","",IFERROR(VLOOKUP(LOWER($D74),UnitsTable,2,0),""))</f>
        <v/>
      </c>
      <c r="N74">
        <f>IF($H74="","",IFERROR(VLOOKUP(LOWER($H74),UnitsTable,2,0),""))</f>
        <v/>
      </c>
      <c r="O74">
        <f>IF($B74="","",IF($D74=$H74,$B74,IF(AND($K74&lt;&gt;"",$L74&lt;&gt;"",$M74=$N74),$B74*$K74/$L74,$B74)))</f>
        <v/>
      </c>
      <c r="P74">
        <f>IF(OR($B74="",$G74=""),0,$O74*$G74)</f>
        <v/>
      </c>
    </row>
    <row r="75">
      <c r="I75">
        <f>IF($A75="","",COUNTIF($A$2:$A75,$A75))</f>
        <v/>
      </c>
      <c r="J75">
        <f>IF($A75="","",$A75&amp;"|"&amp;$I75)</f>
        <v/>
      </c>
      <c r="K75">
        <f>IF($D75="","",IFERROR(VLOOKUP(LOWER($D75),UnitsTable,3,0),""))</f>
        <v/>
      </c>
      <c r="L75">
        <f>IF($H75="","",IFERROR(VLOOKUP(LOWER($H75),UnitsTable,3,0),""))</f>
        <v/>
      </c>
      <c r="M75">
        <f>IF($D75="","",IFERROR(VLOOKUP(LOWER($D75),UnitsTable,2,0),""))</f>
        <v/>
      </c>
      <c r="N75">
        <f>IF($H75="","",IFERROR(VLOOKUP(LOWER($H75),UnitsTable,2,0),""))</f>
        <v/>
      </c>
      <c r="O75">
        <f>IF($B75="","",IF($D75=$H75,$B75,IF(AND($K75&lt;&gt;"",$L75&lt;&gt;"",$M75=$N75),$B75*$K75/$L75,$B75)))</f>
        <v/>
      </c>
      <c r="P75">
        <f>IF(OR($B75="",$G75=""),0,$O75*$G75)</f>
        <v/>
      </c>
    </row>
    <row r="76">
      <c r="I76">
        <f>IF($A76="","",COUNTIF($A$2:$A76,$A76))</f>
        <v/>
      </c>
      <c r="J76">
        <f>IF($A76="","",$A76&amp;"|"&amp;$I76)</f>
        <v/>
      </c>
      <c r="K76">
        <f>IF($D76="","",IFERROR(VLOOKUP(LOWER($D76),UnitsTable,3,0),""))</f>
        <v/>
      </c>
      <c r="L76">
        <f>IF($H76="","",IFERROR(VLOOKUP(LOWER($H76),UnitsTable,3,0),""))</f>
        <v/>
      </c>
      <c r="M76">
        <f>IF($D76="","",IFERROR(VLOOKUP(LOWER($D76),UnitsTable,2,0),""))</f>
        <v/>
      </c>
      <c r="N76">
        <f>IF($H76="","",IFERROR(VLOOKUP(LOWER($H76),UnitsTable,2,0),""))</f>
        <v/>
      </c>
      <c r="O76">
        <f>IF($B76="","",IF($D76=$H76,$B76,IF(AND($K76&lt;&gt;"",$L76&lt;&gt;"",$M76=$N76),$B76*$K76/$L76,$B76)))</f>
        <v/>
      </c>
      <c r="P76">
        <f>IF(OR($B76="",$G76=""),0,$O76*$G76)</f>
        <v/>
      </c>
    </row>
    <row r="77">
      <c r="I77">
        <f>IF($A77="","",COUNTIF($A$2:$A77,$A77))</f>
        <v/>
      </c>
      <c r="J77">
        <f>IF($A77="","",$A77&amp;"|"&amp;$I77)</f>
        <v/>
      </c>
      <c r="K77">
        <f>IF($D77="","",IFERROR(VLOOKUP(LOWER($D77),UnitsTable,3,0),""))</f>
        <v/>
      </c>
      <c r="L77">
        <f>IF($H77="","",IFERROR(VLOOKUP(LOWER($H77),UnitsTable,3,0),""))</f>
        <v/>
      </c>
      <c r="M77">
        <f>IF($D77="","",IFERROR(VLOOKUP(LOWER($D77),UnitsTable,2,0),""))</f>
        <v/>
      </c>
      <c r="N77">
        <f>IF($H77="","",IFERROR(VLOOKUP(LOWER($H77),UnitsTable,2,0),""))</f>
        <v/>
      </c>
      <c r="O77">
        <f>IF($B77="","",IF($D77=$H77,$B77,IF(AND($K77&lt;&gt;"",$L77&lt;&gt;"",$M77=$N77),$B77*$K77/$L77,$B77)))</f>
        <v/>
      </c>
      <c r="P77">
        <f>IF(OR($B77="",$G77=""),0,$O77*$G77)</f>
        <v/>
      </c>
    </row>
    <row r="78">
      <c r="I78">
        <f>IF($A78="","",COUNTIF($A$2:$A78,$A78))</f>
        <v/>
      </c>
      <c r="J78">
        <f>IF($A78="","",$A78&amp;"|"&amp;$I78)</f>
        <v/>
      </c>
      <c r="K78">
        <f>IF($D78="","",IFERROR(VLOOKUP(LOWER($D78),UnitsTable,3,0),""))</f>
        <v/>
      </c>
      <c r="L78">
        <f>IF($H78="","",IFERROR(VLOOKUP(LOWER($H78),UnitsTable,3,0),""))</f>
        <v/>
      </c>
      <c r="M78">
        <f>IF($D78="","",IFERROR(VLOOKUP(LOWER($D78),UnitsTable,2,0),""))</f>
        <v/>
      </c>
      <c r="N78">
        <f>IF($H78="","",IFERROR(VLOOKUP(LOWER($H78),UnitsTable,2,0),""))</f>
        <v/>
      </c>
      <c r="O78">
        <f>IF($B78="","",IF($D78=$H78,$B78,IF(AND($K78&lt;&gt;"",$L78&lt;&gt;"",$M78=$N78),$B78*$K78/$L78,$B78)))</f>
        <v/>
      </c>
      <c r="P78">
        <f>IF(OR($B78="",$G78=""),0,$O78*$G78)</f>
        <v/>
      </c>
    </row>
    <row r="79">
      <c r="I79">
        <f>IF($A79="","",COUNTIF($A$2:$A79,$A79))</f>
        <v/>
      </c>
      <c r="J79">
        <f>IF($A79="","",$A79&amp;"|"&amp;$I79)</f>
        <v/>
      </c>
      <c r="K79">
        <f>IF($D79="","",IFERROR(VLOOKUP(LOWER($D79),UnitsTable,3,0),""))</f>
        <v/>
      </c>
      <c r="L79">
        <f>IF($H79="","",IFERROR(VLOOKUP(LOWER($H79),UnitsTable,3,0),""))</f>
        <v/>
      </c>
      <c r="M79">
        <f>IF($D79="","",IFERROR(VLOOKUP(LOWER($D79),UnitsTable,2,0),""))</f>
        <v/>
      </c>
      <c r="N79">
        <f>IF($H79="","",IFERROR(VLOOKUP(LOWER($H79),UnitsTable,2,0),""))</f>
        <v/>
      </c>
      <c r="O79">
        <f>IF($B79="","",IF($D79=$H79,$B79,IF(AND($K79&lt;&gt;"",$L79&lt;&gt;"",$M79=$N79),$B79*$K79/$L79,$B79)))</f>
        <v/>
      </c>
      <c r="P79">
        <f>IF(OR($B79="",$G79=""),0,$O79*$G79)</f>
        <v/>
      </c>
    </row>
    <row r="80">
      <c r="I80">
        <f>IF($A80="","",COUNTIF($A$2:$A80,$A80))</f>
        <v/>
      </c>
      <c r="J80">
        <f>IF($A80="","",$A80&amp;"|"&amp;$I80)</f>
        <v/>
      </c>
      <c r="K80">
        <f>IF($D80="","",IFERROR(VLOOKUP(LOWER($D80),UnitsTable,3,0),""))</f>
        <v/>
      </c>
      <c r="L80">
        <f>IF($H80="","",IFERROR(VLOOKUP(LOWER($H80),UnitsTable,3,0),""))</f>
        <v/>
      </c>
      <c r="M80">
        <f>IF($D80="","",IFERROR(VLOOKUP(LOWER($D80),UnitsTable,2,0),""))</f>
        <v/>
      </c>
      <c r="N80">
        <f>IF($H80="","",IFERROR(VLOOKUP(LOWER($H80),UnitsTable,2,0),""))</f>
        <v/>
      </c>
      <c r="O80">
        <f>IF($B80="","",IF($D80=$H80,$B80,IF(AND($K80&lt;&gt;"",$L80&lt;&gt;"",$M80=$N80),$B80*$K80/$L80,$B80)))</f>
        <v/>
      </c>
      <c r="P80">
        <f>IF(OR($B80="",$G80=""),0,$O80*$G80)</f>
        <v/>
      </c>
    </row>
    <row r="81">
      <c r="I81">
        <f>IF($A81="","",COUNTIF($A$2:$A81,$A81))</f>
        <v/>
      </c>
      <c r="J81">
        <f>IF($A81="","",$A81&amp;"|"&amp;$I81)</f>
        <v/>
      </c>
      <c r="K81">
        <f>IF($D81="","",IFERROR(VLOOKUP(LOWER($D81),UnitsTable,3,0),""))</f>
        <v/>
      </c>
      <c r="L81">
        <f>IF($H81="","",IFERROR(VLOOKUP(LOWER($H81),UnitsTable,3,0),""))</f>
        <v/>
      </c>
      <c r="M81">
        <f>IF($D81="","",IFERROR(VLOOKUP(LOWER($D81),UnitsTable,2,0),""))</f>
        <v/>
      </c>
      <c r="N81">
        <f>IF($H81="","",IFERROR(VLOOKUP(LOWER($H81),UnitsTable,2,0),""))</f>
        <v/>
      </c>
      <c r="O81">
        <f>IF($B81="","",IF($D81=$H81,$B81,IF(AND($K81&lt;&gt;"",$L81&lt;&gt;"",$M81=$N81),$B81*$K81/$L81,$B81)))</f>
        <v/>
      </c>
      <c r="P81">
        <f>IF(OR($B81="",$G81=""),0,$O81*$G81)</f>
        <v/>
      </c>
    </row>
    <row r="82">
      <c r="I82">
        <f>IF($A82="","",COUNTIF($A$2:$A82,$A82))</f>
        <v/>
      </c>
      <c r="J82">
        <f>IF($A82="","",$A82&amp;"|"&amp;$I82)</f>
        <v/>
      </c>
      <c r="K82">
        <f>IF($D82="","",IFERROR(VLOOKUP(LOWER($D82),UnitsTable,3,0),""))</f>
        <v/>
      </c>
      <c r="L82">
        <f>IF($H82="","",IFERROR(VLOOKUP(LOWER($H82),UnitsTable,3,0),""))</f>
        <v/>
      </c>
      <c r="M82">
        <f>IF($D82="","",IFERROR(VLOOKUP(LOWER($D82),UnitsTable,2,0),""))</f>
        <v/>
      </c>
      <c r="N82">
        <f>IF($H82="","",IFERROR(VLOOKUP(LOWER($H82),UnitsTable,2,0),""))</f>
        <v/>
      </c>
      <c r="O82">
        <f>IF($B82="","",IF($D82=$H82,$B82,IF(AND($K82&lt;&gt;"",$L82&lt;&gt;"",$M82=$N82),$B82*$K82/$L82,$B82)))</f>
        <v/>
      </c>
      <c r="P82">
        <f>IF(OR($B82="",$G82=""),0,$O82*$G82)</f>
        <v/>
      </c>
    </row>
    <row r="83">
      <c r="I83">
        <f>IF($A83="","",COUNTIF($A$2:$A83,$A83))</f>
        <v/>
      </c>
      <c r="J83">
        <f>IF($A83="","",$A83&amp;"|"&amp;$I83)</f>
        <v/>
      </c>
      <c r="K83">
        <f>IF($D83="","",IFERROR(VLOOKUP(LOWER($D83),UnitsTable,3,0),""))</f>
        <v/>
      </c>
      <c r="L83">
        <f>IF($H83="","",IFERROR(VLOOKUP(LOWER($H83),UnitsTable,3,0),""))</f>
        <v/>
      </c>
      <c r="M83">
        <f>IF($D83="","",IFERROR(VLOOKUP(LOWER($D83),UnitsTable,2,0),""))</f>
        <v/>
      </c>
      <c r="N83">
        <f>IF($H83="","",IFERROR(VLOOKUP(LOWER($H83),UnitsTable,2,0),""))</f>
        <v/>
      </c>
      <c r="O83">
        <f>IF($B83="","",IF($D83=$H83,$B83,IF(AND($K83&lt;&gt;"",$L83&lt;&gt;"",$M83=$N83),$B83*$K83/$L83,$B83)))</f>
        <v/>
      </c>
      <c r="P83">
        <f>IF(OR($B83="",$G83=""),0,$O83*$G83)</f>
        <v/>
      </c>
    </row>
    <row r="84">
      <c r="I84">
        <f>IF($A84="","",COUNTIF($A$2:$A84,$A84))</f>
        <v/>
      </c>
      <c r="J84">
        <f>IF($A84="","",$A84&amp;"|"&amp;$I84)</f>
        <v/>
      </c>
      <c r="K84">
        <f>IF($D84="","",IFERROR(VLOOKUP(LOWER($D84),UnitsTable,3,0),""))</f>
        <v/>
      </c>
      <c r="L84">
        <f>IF($H84="","",IFERROR(VLOOKUP(LOWER($H84),UnitsTable,3,0),""))</f>
        <v/>
      </c>
      <c r="M84">
        <f>IF($D84="","",IFERROR(VLOOKUP(LOWER($D84),UnitsTable,2,0),""))</f>
        <v/>
      </c>
      <c r="N84">
        <f>IF($H84="","",IFERROR(VLOOKUP(LOWER($H84),UnitsTable,2,0),""))</f>
        <v/>
      </c>
      <c r="O84">
        <f>IF($B84="","",IF($D84=$H84,$B84,IF(AND($K84&lt;&gt;"",$L84&lt;&gt;"",$M84=$N84),$B84*$K84/$L84,$B84)))</f>
        <v/>
      </c>
      <c r="P84">
        <f>IF(OR($B84="",$G84=""),0,$O84*$G84)</f>
        <v/>
      </c>
    </row>
    <row r="85">
      <c r="I85">
        <f>IF($A85="","",COUNTIF($A$2:$A85,$A85))</f>
        <v/>
      </c>
      <c r="J85">
        <f>IF($A85="","",$A85&amp;"|"&amp;$I85)</f>
        <v/>
      </c>
      <c r="K85">
        <f>IF($D85="","",IFERROR(VLOOKUP(LOWER($D85),UnitsTable,3,0),""))</f>
        <v/>
      </c>
      <c r="L85">
        <f>IF($H85="","",IFERROR(VLOOKUP(LOWER($H85),UnitsTable,3,0),""))</f>
        <v/>
      </c>
      <c r="M85">
        <f>IF($D85="","",IFERROR(VLOOKUP(LOWER($D85),UnitsTable,2,0),""))</f>
        <v/>
      </c>
      <c r="N85">
        <f>IF($H85="","",IFERROR(VLOOKUP(LOWER($H85),UnitsTable,2,0),""))</f>
        <v/>
      </c>
      <c r="O85">
        <f>IF($B85="","",IF($D85=$H85,$B85,IF(AND($K85&lt;&gt;"",$L85&lt;&gt;"",$M85=$N85),$B85*$K85/$L85,$B85)))</f>
        <v/>
      </c>
      <c r="P85">
        <f>IF(OR($B85="",$G85=""),0,$O85*$G85)</f>
        <v/>
      </c>
    </row>
    <row r="86">
      <c r="I86">
        <f>IF($A86="","",COUNTIF($A$2:$A86,$A86))</f>
        <v/>
      </c>
      <c r="J86">
        <f>IF($A86="","",$A86&amp;"|"&amp;$I86)</f>
        <v/>
      </c>
      <c r="K86">
        <f>IF($D86="","",IFERROR(VLOOKUP(LOWER($D86),UnitsTable,3,0),""))</f>
        <v/>
      </c>
      <c r="L86">
        <f>IF($H86="","",IFERROR(VLOOKUP(LOWER($H86),UnitsTable,3,0),""))</f>
        <v/>
      </c>
      <c r="M86">
        <f>IF($D86="","",IFERROR(VLOOKUP(LOWER($D86),UnitsTable,2,0),""))</f>
        <v/>
      </c>
      <c r="N86">
        <f>IF($H86="","",IFERROR(VLOOKUP(LOWER($H86),UnitsTable,2,0),""))</f>
        <v/>
      </c>
      <c r="O86">
        <f>IF($B86="","",IF($D86=$H86,$B86,IF(AND($K86&lt;&gt;"",$L86&lt;&gt;"",$M86=$N86),$B86*$K86/$L86,$B86)))</f>
        <v/>
      </c>
      <c r="P86">
        <f>IF(OR($B86="",$G86=""),0,$O86*$G86)</f>
        <v/>
      </c>
    </row>
    <row r="87">
      <c r="I87">
        <f>IF($A87="","",COUNTIF($A$2:$A87,$A87))</f>
        <v/>
      </c>
      <c r="J87">
        <f>IF($A87="","",$A87&amp;"|"&amp;$I87)</f>
        <v/>
      </c>
      <c r="K87">
        <f>IF($D87="","",IFERROR(VLOOKUP(LOWER($D87),UnitsTable,3,0),""))</f>
        <v/>
      </c>
      <c r="L87">
        <f>IF($H87="","",IFERROR(VLOOKUP(LOWER($H87),UnitsTable,3,0),""))</f>
        <v/>
      </c>
      <c r="M87">
        <f>IF($D87="","",IFERROR(VLOOKUP(LOWER($D87),UnitsTable,2,0),""))</f>
        <v/>
      </c>
      <c r="N87">
        <f>IF($H87="","",IFERROR(VLOOKUP(LOWER($H87),UnitsTable,2,0),""))</f>
        <v/>
      </c>
      <c r="O87">
        <f>IF($B87="","",IF($D87=$H87,$B87,IF(AND($K87&lt;&gt;"",$L87&lt;&gt;"",$M87=$N87),$B87*$K87/$L87,$B87)))</f>
        <v/>
      </c>
      <c r="P87">
        <f>IF(OR($B87="",$G87=""),0,$O87*$G87)</f>
        <v/>
      </c>
    </row>
    <row r="88">
      <c r="I88">
        <f>IF($A88="","",COUNTIF($A$2:$A88,$A88))</f>
        <v/>
      </c>
      <c r="J88">
        <f>IF($A88="","",$A88&amp;"|"&amp;$I88)</f>
        <v/>
      </c>
      <c r="K88">
        <f>IF($D88="","",IFERROR(VLOOKUP(LOWER($D88),UnitsTable,3,0),""))</f>
        <v/>
      </c>
      <c r="L88">
        <f>IF($H88="","",IFERROR(VLOOKUP(LOWER($H88),UnitsTable,3,0),""))</f>
        <v/>
      </c>
      <c r="M88">
        <f>IF($D88="","",IFERROR(VLOOKUP(LOWER($D88),UnitsTable,2,0),""))</f>
        <v/>
      </c>
      <c r="N88">
        <f>IF($H88="","",IFERROR(VLOOKUP(LOWER($H88),UnitsTable,2,0),""))</f>
        <v/>
      </c>
      <c r="O88">
        <f>IF($B88="","",IF($D88=$H88,$B88,IF(AND($K88&lt;&gt;"",$L88&lt;&gt;"",$M88=$N88),$B88*$K88/$L88,$B88)))</f>
        <v/>
      </c>
      <c r="P88">
        <f>IF(OR($B88="",$G88=""),0,$O88*$G88)</f>
        <v/>
      </c>
    </row>
    <row r="89">
      <c r="I89">
        <f>IF($A89="","",COUNTIF($A$2:$A89,$A89))</f>
        <v/>
      </c>
      <c r="J89">
        <f>IF($A89="","",$A89&amp;"|"&amp;$I89)</f>
        <v/>
      </c>
      <c r="K89">
        <f>IF($D89="","",IFERROR(VLOOKUP(LOWER($D89),UnitsTable,3,0),""))</f>
        <v/>
      </c>
      <c r="L89">
        <f>IF($H89="","",IFERROR(VLOOKUP(LOWER($H89),UnitsTable,3,0),""))</f>
        <v/>
      </c>
      <c r="M89">
        <f>IF($D89="","",IFERROR(VLOOKUP(LOWER($D89),UnitsTable,2,0),""))</f>
        <v/>
      </c>
      <c r="N89">
        <f>IF($H89="","",IFERROR(VLOOKUP(LOWER($H89),UnitsTable,2,0),""))</f>
        <v/>
      </c>
      <c r="O89">
        <f>IF($B89="","",IF($D89=$H89,$B89,IF(AND($K89&lt;&gt;"",$L89&lt;&gt;"",$M89=$N89),$B89*$K89/$L89,$B89)))</f>
        <v/>
      </c>
      <c r="P89">
        <f>IF(OR($B89="",$G89=""),0,$O89*$G89)</f>
        <v/>
      </c>
    </row>
    <row r="90">
      <c r="I90">
        <f>IF($A90="","",COUNTIF($A$2:$A90,$A90))</f>
        <v/>
      </c>
      <c r="J90">
        <f>IF($A90="","",$A90&amp;"|"&amp;$I90)</f>
        <v/>
      </c>
      <c r="K90">
        <f>IF($D90="","",IFERROR(VLOOKUP(LOWER($D90),UnitsTable,3,0),""))</f>
        <v/>
      </c>
      <c r="L90">
        <f>IF($H90="","",IFERROR(VLOOKUP(LOWER($H90),UnitsTable,3,0),""))</f>
        <v/>
      </c>
      <c r="M90">
        <f>IF($D90="","",IFERROR(VLOOKUP(LOWER($D90),UnitsTable,2,0),""))</f>
        <v/>
      </c>
      <c r="N90">
        <f>IF($H90="","",IFERROR(VLOOKUP(LOWER($H90),UnitsTable,2,0),""))</f>
        <v/>
      </c>
      <c r="O90">
        <f>IF($B90="","",IF($D90=$H90,$B90,IF(AND($K90&lt;&gt;"",$L90&lt;&gt;"",$M90=$N90),$B90*$K90/$L90,$B90)))</f>
        <v/>
      </c>
      <c r="P90">
        <f>IF(OR($B90="",$G90=""),0,$O90*$G90)</f>
        <v/>
      </c>
    </row>
    <row r="91">
      <c r="I91">
        <f>IF($A91="","",COUNTIF($A$2:$A91,$A91))</f>
        <v/>
      </c>
      <c r="J91">
        <f>IF($A91="","",$A91&amp;"|"&amp;$I91)</f>
        <v/>
      </c>
      <c r="K91">
        <f>IF($D91="","",IFERROR(VLOOKUP(LOWER($D91),UnitsTable,3,0),""))</f>
        <v/>
      </c>
      <c r="L91">
        <f>IF($H91="","",IFERROR(VLOOKUP(LOWER($H91),UnitsTable,3,0),""))</f>
        <v/>
      </c>
      <c r="M91">
        <f>IF($D91="","",IFERROR(VLOOKUP(LOWER($D91),UnitsTable,2,0),""))</f>
        <v/>
      </c>
      <c r="N91">
        <f>IF($H91="","",IFERROR(VLOOKUP(LOWER($H91),UnitsTable,2,0),""))</f>
        <v/>
      </c>
      <c r="O91">
        <f>IF($B91="","",IF($D91=$H91,$B91,IF(AND($K91&lt;&gt;"",$L91&lt;&gt;"",$M91=$N91),$B91*$K91/$L91,$B91)))</f>
        <v/>
      </c>
      <c r="P91">
        <f>IF(OR($B91="",$G91=""),0,$O91*$G91)</f>
        <v/>
      </c>
    </row>
    <row r="92">
      <c r="I92">
        <f>IF($A92="","",COUNTIF($A$2:$A92,$A92))</f>
        <v/>
      </c>
      <c r="J92">
        <f>IF($A92="","",$A92&amp;"|"&amp;$I92)</f>
        <v/>
      </c>
      <c r="K92">
        <f>IF($D92="","",IFERROR(VLOOKUP(LOWER($D92),UnitsTable,3,0),""))</f>
        <v/>
      </c>
      <c r="L92">
        <f>IF($H92="","",IFERROR(VLOOKUP(LOWER($H92),UnitsTable,3,0),""))</f>
        <v/>
      </c>
      <c r="M92">
        <f>IF($D92="","",IFERROR(VLOOKUP(LOWER($D92),UnitsTable,2,0),""))</f>
        <v/>
      </c>
      <c r="N92">
        <f>IF($H92="","",IFERROR(VLOOKUP(LOWER($H92),UnitsTable,2,0),""))</f>
        <v/>
      </c>
      <c r="O92">
        <f>IF($B92="","",IF($D92=$H92,$B92,IF(AND($K92&lt;&gt;"",$L92&lt;&gt;"",$M92=$N92),$B92*$K92/$L92,$B92)))</f>
        <v/>
      </c>
      <c r="P92">
        <f>IF(OR($B92="",$G92=""),0,$O92*$G92)</f>
        <v/>
      </c>
    </row>
    <row r="93">
      <c r="I93">
        <f>IF($A93="","",COUNTIF($A$2:$A93,$A93))</f>
        <v/>
      </c>
      <c r="J93">
        <f>IF($A93="","",$A93&amp;"|"&amp;$I93)</f>
        <v/>
      </c>
      <c r="K93">
        <f>IF($D93="","",IFERROR(VLOOKUP(LOWER($D93),UnitsTable,3,0),""))</f>
        <v/>
      </c>
      <c r="L93">
        <f>IF($H93="","",IFERROR(VLOOKUP(LOWER($H93),UnitsTable,3,0),""))</f>
        <v/>
      </c>
      <c r="M93">
        <f>IF($D93="","",IFERROR(VLOOKUP(LOWER($D93),UnitsTable,2,0),""))</f>
        <v/>
      </c>
      <c r="N93">
        <f>IF($H93="","",IFERROR(VLOOKUP(LOWER($H93),UnitsTable,2,0),""))</f>
        <v/>
      </c>
      <c r="O93">
        <f>IF($B93="","",IF($D93=$H93,$B93,IF(AND($K93&lt;&gt;"",$L93&lt;&gt;"",$M93=$N93),$B93*$K93/$L93,$B93)))</f>
        <v/>
      </c>
      <c r="P93">
        <f>IF(OR($B93="",$G93=""),0,$O93*$G93)</f>
        <v/>
      </c>
    </row>
    <row r="94">
      <c r="I94">
        <f>IF($A94="","",COUNTIF($A$2:$A94,$A94))</f>
        <v/>
      </c>
      <c r="J94">
        <f>IF($A94="","",$A94&amp;"|"&amp;$I94)</f>
        <v/>
      </c>
      <c r="K94">
        <f>IF($D94="","",IFERROR(VLOOKUP(LOWER($D94),UnitsTable,3,0),""))</f>
        <v/>
      </c>
      <c r="L94">
        <f>IF($H94="","",IFERROR(VLOOKUP(LOWER($H94),UnitsTable,3,0),""))</f>
        <v/>
      </c>
      <c r="M94">
        <f>IF($D94="","",IFERROR(VLOOKUP(LOWER($D94),UnitsTable,2,0),""))</f>
        <v/>
      </c>
      <c r="N94">
        <f>IF($H94="","",IFERROR(VLOOKUP(LOWER($H94),UnitsTable,2,0),""))</f>
        <v/>
      </c>
      <c r="O94">
        <f>IF($B94="","",IF($D94=$H94,$B94,IF(AND($K94&lt;&gt;"",$L94&lt;&gt;"",$M94=$N94),$B94*$K94/$L94,$B94)))</f>
        <v/>
      </c>
      <c r="P94">
        <f>IF(OR($B94="",$G94=""),0,$O94*$G94)</f>
        <v/>
      </c>
    </row>
    <row r="95">
      <c r="I95">
        <f>IF($A95="","",COUNTIF($A$2:$A95,$A95))</f>
        <v/>
      </c>
      <c r="J95">
        <f>IF($A95="","",$A95&amp;"|"&amp;$I95)</f>
        <v/>
      </c>
      <c r="K95">
        <f>IF($D95="","",IFERROR(VLOOKUP(LOWER($D95),UnitsTable,3,0),""))</f>
        <v/>
      </c>
      <c r="L95">
        <f>IF($H95="","",IFERROR(VLOOKUP(LOWER($H95),UnitsTable,3,0),""))</f>
        <v/>
      </c>
      <c r="M95">
        <f>IF($D95="","",IFERROR(VLOOKUP(LOWER($D95),UnitsTable,2,0),""))</f>
        <v/>
      </c>
      <c r="N95">
        <f>IF($H95="","",IFERROR(VLOOKUP(LOWER($H95),UnitsTable,2,0),""))</f>
        <v/>
      </c>
      <c r="O95">
        <f>IF($B95="","",IF($D95=$H95,$B95,IF(AND($K95&lt;&gt;"",$L95&lt;&gt;"",$M95=$N95),$B95*$K95/$L95,$B95)))</f>
        <v/>
      </c>
      <c r="P95">
        <f>IF(OR($B95="",$G95=""),0,$O95*$G95)</f>
        <v/>
      </c>
    </row>
    <row r="96">
      <c r="I96">
        <f>IF($A96="","",COUNTIF($A$2:$A96,$A96))</f>
        <v/>
      </c>
      <c r="J96">
        <f>IF($A96="","",$A96&amp;"|"&amp;$I96)</f>
        <v/>
      </c>
      <c r="K96">
        <f>IF($D96="","",IFERROR(VLOOKUP(LOWER($D96),UnitsTable,3,0),""))</f>
        <v/>
      </c>
      <c r="L96">
        <f>IF($H96="","",IFERROR(VLOOKUP(LOWER($H96),UnitsTable,3,0),""))</f>
        <v/>
      </c>
      <c r="M96">
        <f>IF($D96="","",IFERROR(VLOOKUP(LOWER($D96),UnitsTable,2,0),""))</f>
        <v/>
      </c>
      <c r="N96">
        <f>IF($H96="","",IFERROR(VLOOKUP(LOWER($H96),UnitsTable,2,0),""))</f>
        <v/>
      </c>
      <c r="O96">
        <f>IF($B96="","",IF($D96=$H96,$B96,IF(AND($K96&lt;&gt;"",$L96&lt;&gt;"",$M96=$N96),$B96*$K96/$L96,$B96)))</f>
        <v/>
      </c>
      <c r="P96">
        <f>IF(OR($B96="",$G96=""),0,$O96*$G96)</f>
        <v/>
      </c>
    </row>
    <row r="97">
      <c r="I97">
        <f>IF($A97="","",COUNTIF($A$2:$A97,$A97))</f>
        <v/>
      </c>
      <c r="J97">
        <f>IF($A97="","",$A97&amp;"|"&amp;$I97)</f>
        <v/>
      </c>
      <c r="K97">
        <f>IF($D97="","",IFERROR(VLOOKUP(LOWER($D97),UnitsTable,3,0),""))</f>
        <v/>
      </c>
      <c r="L97">
        <f>IF($H97="","",IFERROR(VLOOKUP(LOWER($H97),UnitsTable,3,0),""))</f>
        <v/>
      </c>
      <c r="M97">
        <f>IF($D97="","",IFERROR(VLOOKUP(LOWER($D97),UnitsTable,2,0),""))</f>
        <v/>
      </c>
      <c r="N97">
        <f>IF($H97="","",IFERROR(VLOOKUP(LOWER($H97),UnitsTable,2,0),""))</f>
        <v/>
      </c>
      <c r="O97">
        <f>IF($B97="","",IF($D97=$H97,$B97,IF(AND($K97&lt;&gt;"",$L97&lt;&gt;"",$M97=$N97),$B97*$K97/$L97,$B97)))</f>
        <v/>
      </c>
      <c r="P97">
        <f>IF(OR($B97="",$G97=""),0,$O97*$G97)</f>
        <v/>
      </c>
    </row>
    <row r="98">
      <c r="I98">
        <f>IF($A98="","",COUNTIF($A$2:$A98,$A98))</f>
        <v/>
      </c>
      <c r="J98">
        <f>IF($A98="","",$A98&amp;"|"&amp;$I98)</f>
        <v/>
      </c>
      <c r="K98">
        <f>IF($D98="","",IFERROR(VLOOKUP(LOWER($D98),UnitsTable,3,0),""))</f>
        <v/>
      </c>
      <c r="L98">
        <f>IF($H98="","",IFERROR(VLOOKUP(LOWER($H98),UnitsTable,3,0),""))</f>
        <v/>
      </c>
      <c r="M98">
        <f>IF($D98="","",IFERROR(VLOOKUP(LOWER($D98),UnitsTable,2,0),""))</f>
        <v/>
      </c>
      <c r="N98">
        <f>IF($H98="","",IFERROR(VLOOKUP(LOWER($H98),UnitsTable,2,0),""))</f>
        <v/>
      </c>
      <c r="O98">
        <f>IF($B98="","",IF($D98=$H98,$B98,IF(AND($K98&lt;&gt;"",$L98&lt;&gt;"",$M98=$N98),$B98*$K98/$L98,$B98)))</f>
        <v/>
      </c>
      <c r="P98">
        <f>IF(OR($B98="",$G98=""),0,$O98*$G98)</f>
        <v/>
      </c>
    </row>
    <row r="99">
      <c r="I99">
        <f>IF($A99="","",COUNTIF($A$2:$A99,$A99))</f>
        <v/>
      </c>
      <c r="J99">
        <f>IF($A99="","",$A99&amp;"|"&amp;$I99)</f>
        <v/>
      </c>
      <c r="K99">
        <f>IF($D99="","",IFERROR(VLOOKUP(LOWER($D99),UnitsTable,3,0),""))</f>
        <v/>
      </c>
      <c r="L99">
        <f>IF($H99="","",IFERROR(VLOOKUP(LOWER($H99),UnitsTable,3,0),""))</f>
        <v/>
      </c>
      <c r="M99">
        <f>IF($D99="","",IFERROR(VLOOKUP(LOWER($D99),UnitsTable,2,0),""))</f>
        <v/>
      </c>
      <c r="N99">
        <f>IF($H99="","",IFERROR(VLOOKUP(LOWER($H99),UnitsTable,2,0),""))</f>
        <v/>
      </c>
      <c r="O99">
        <f>IF($B99="","",IF($D99=$H99,$B99,IF(AND($K99&lt;&gt;"",$L99&lt;&gt;"",$M99=$N99),$B99*$K99/$L99,$B99)))</f>
        <v/>
      </c>
      <c r="P99">
        <f>IF(OR($B99="",$G99=""),0,$O99*$G99)</f>
        <v/>
      </c>
    </row>
    <row r="100">
      <c r="I100">
        <f>IF($A100="","",COUNTIF($A$2:$A100,$A100))</f>
        <v/>
      </c>
      <c r="J100">
        <f>IF($A100="","",$A100&amp;"|"&amp;$I100)</f>
        <v/>
      </c>
      <c r="K100">
        <f>IF($D100="","",IFERROR(VLOOKUP(LOWER($D100),UnitsTable,3,0),""))</f>
        <v/>
      </c>
      <c r="L100">
        <f>IF($H100="","",IFERROR(VLOOKUP(LOWER($H100),UnitsTable,3,0),""))</f>
        <v/>
      </c>
      <c r="M100">
        <f>IF($D100="","",IFERROR(VLOOKUP(LOWER($D100),UnitsTable,2,0),""))</f>
        <v/>
      </c>
      <c r="N100">
        <f>IF($H100="","",IFERROR(VLOOKUP(LOWER($H100),UnitsTable,2,0),""))</f>
        <v/>
      </c>
      <c r="O100">
        <f>IF($B100="","",IF($D100=$H100,$B100,IF(AND($K100&lt;&gt;"",$L100&lt;&gt;"",$M100=$N100),$B100*$K100/$L100,$B100)))</f>
        <v/>
      </c>
      <c r="P100">
        <f>IF(OR($B100="",$G100=""),0,$O100*$G100)</f>
        <v/>
      </c>
    </row>
    <row r="101">
      <c r="I101">
        <f>IF($A101="","",COUNTIF($A$2:$A101,$A101))</f>
        <v/>
      </c>
      <c r="J101">
        <f>IF($A101="","",$A101&amp;"|"&amp;$I101)</f>
        <v/>
      </c>
      <c r="K101">
        <f>IF($D101="","",IFERROR(VLOOKUP(LOWER($D101),UnitsTable,3,0),""))</f>
        <v/>
      </c>
      <c r="L101">
        <f>IF($H101="","",IFERROR(VLOOKUP(LOWER($H101),UnitsTable,3,0),""))</f>
        <v/>
      </c>
      <c r="M101">
        <f>IF($D101="","",IFERROR(VLOOKUP(LOWER($D101),UnitsTable,2,0),""))</f>
        <v/>
      </c>
      <c r="N101">
        <f>IF($H101="","",IFERROR(VLOOKUP(LOWER($H101),UnitsTable,2,0),""))</f>
        <v/>
      </c>
      <c r="O101">
        <f>IF($B101="","",IF($D101=$H101,$B101,IF(AND($K101&lt;&gt;"",$L101&lt;&gt;"",$M101=$N101),$B101*$K101/$L101,$B101)))</f>
        <v/>
      </c>
      <c r="P101">
        <f>IF(OR($B101="",$G101=""),0,$O101*$G101)</f>
        <v/>
      </c>
    </row>
    <row r="102">
      <c r="I102">
        <f>IF($A102="","",COUNTIF($A$2:$A102,$A102))</f>
        <v/>
      </c>
      <c r="J102">
        <f>IF($A102="","",$A102&amp;"|"&amp;$I102)</f>
        <v/>
      </c>
      <c r="K102">
        <f>IF($D102="","",IFERROR(VLOOKUP(LOWER($D102),UnitsTable,3,0),""))</f>
        <v/>
      </c>
      <c r="L102">
        <f>IF($H102="","",IFERROR(VLOOKUP(LOWER($H102),UnitsTable,3,0),""))</f>
        <v/>
      </c>
      <c r="M102">
        <f>IF($D102="","",IFERROR(VLOOKUP(LOWER($D102),UnitsTable,2,0),""))</f>
        <v/>
      </c>
      <c r="N102">
        <f>IF($H102="","",IFERROR(VLOOKUP(LOWER($H102),UnitsTable,2,0),""))</f>
        <v/>
      </c>
      <c r="O102">
        <f>IF($B102="","",IF($D102=$H102,$B102,IF(AND($K102&lt;&gt;"",$L102&lt;&gt;"",$M102=$N102),$B102*$K102/$L102,$B102)))</f>
        <v/>
      </c>
      <c r="P102">
        <f>IF(OR($B102="",$G102=""),0,$O102*$G102)</f>
        <v/>
      </c>
    </row>
    <row r="103">
      <c r="I103">
        <f>IF($A103="","",COUNTIF($A$2:$A103,$A103))</f>
        <v/>
      </c>
      <c r="J103">
        <f>IF($A103="","",$A103&amp;"|"&amp;$I103)</f>
        <v/>
      </c>
      <c r="K103">
        <f>IF($D103="","",IFERROR(VLOOKUP(LOWER($D103),UnitsTable,3,0),""))</f>
        <v/>
      </c>
      <c r="L103">
        <f>IF($H103="","",IFERROR(VLOOKUP(LOWER($H103),UnitsTable,3,0),""))</f>
        <v/>
      </c>
      <c r="M103">
        <f>IF($D103="","",IFERROR(VLOOKUP(LOWER($D103),UnitsTable,2,0),""))</f>
        <v/>
      </c>
      <c r="N103">
        <f>IF($H103="","",IFERROR(VLOOKUP(LOWER($H103),UnitsTable,2,0),""))</f>
        <v/>
      </c>
      <c r="O103">
        <f>IF($B103="","",IF($D103=$H103,$B103,IF(AND($K103&lt;&gt;"",$L103&lt;&gt;"",$M103=$N103),$B103*$K103/$L103,$B103)))</f>
        <v/>
      </c>
      <c r="P103">
        <f>IF(OR($B103="",$G103=""),0,$O103*$G103)</f>
        <v/>
      </c>
    </row>
    <row r="104">
      <c r="I104">
        <f>IF($A104="","",COUNTIF($A$2:$A104,$A104))</f>
        <v/>
      </c>
      <c r="J104">
        <f>IF($A104="","",$A104&amp;"|"&amp;$I104)</f>
        <v/>
      </c>
      <c r="K104">
        <f>IF($D104="","",IFERROR(VLOOKUP(LOWER($D104),UnitsTable,3,0),""))</f>
        <v/>
      </c>
      <c r="L104">
        <f>IF($H104="","",IFERROR(VLOOKUP(LOWER($H104),UnitsTable,3,0),""))</f>
        <v/>
      </c>
      <c r="M104">
        <f>IF($D104="","",IFERROR(VLOOKUP(LOWER($D104),UnitsTable,2,0),""))</f>
        <v/>
      </c>
      <c r="N104">
        <f>IF($H104="","",IFERROR(VLOOKUP(LOWER($H104),UnitsTable,2,0),""))</f>
        <v/>
      </c>
      <c r="O104">
        <f>IF($B104="","",IF($D104=$H104,$B104,IF(AND($K104&lt;&gt;"",$L104&lt;&gt;"",$M104=$N104),$B104*$K104/$L104,$B104)))</f>
        <v/>
      </c>
      <c r="P104">
        <f>IF(OR($B104="",$G104=""),0,$O104*$G104)</f>
        <v/>
      </c>
    </row>
    <row r="105">
      <c r="I105">
        <f>IF($A105="","",COUNTIF($A$2:$A105,$A105))</f>
        <v/>
      </c>
      <c r="J105">
        <f>IF($A105="","",$A105&amp;"|"&amp;$I105)</f>
        <v/>
      </c>
      <c r="K105">
        <f>IF($D105="","",IFERROR(VLOOKUP(LOWER($D105),UnitsTable,3,0),""))</f>
        <v/>
      </c>
      <c r="L105">
        <f>IF($H105="","",IFERROR(VLOOKUP(LOWER($H105),UnitsTable,3,0),""))</f>
        <v/>
      </c>
      <c r="M105">
        <f>IF($D105="","",IFERROR(VLOOKUP(LOWER($D105),UnitsTable,2,0),""))</f>
        <v/>
      </c>
      <c r="N105">
        <f>IF($H105="","",IFERROR(VLOOKUP(LOWER($H105),UnitsTable,2,0),""))</f>
        <v/>
      </c>
      <c r="O105">
        <f>IF($B105="","",IF($D105=$H105,$B105,IF(AND($K105&lt;&gt;"",$L105&lt;&gt;"",$M105=$N105),$B105*$K105/$L105,$B105)))</f>
        <v/>
      </c>
      <c r="P105">
        <f>IF(OR($B105="",$G105=""),0,$O105*$G105)</f>
        <v/>
      </c>
    </row>
    <row r="106">
      <c r="I106">
        <f>IF($A106="","",COUNTIF($A$2:$A106,$A106))</f>
        <v/>
      </c>
      <c r="J106">
        <f>IF($A106="","",$A106&amp;"|"&amp;$I106)</f>
        <v/>
      </c>
      <c r="K106">
        <f>IF($D106="","",IFERROR(VLOOKUP(LOWER($D106),UnitsTable,3,0),""))</f>
        <v/>
      </c>
      <c r="L106">
        <f>IF($H106="","",IFERROR(VLOOKUP(LOWER($H106),UnitsTable,3,0),""))</f>
        <v/>
      </c>
      <c r="M106">
        <f>IF($D106="","",IFERROR(VLOOKUP(LOWER($D106),UnitsTable,2,0),""))</f>
        <v/>
      </c>
      <c r="N106">
        <f>IF($H106="","",IFERROR(VLOOKUP(LOWER($H106),UnitsTable,2,0),""))</f>
        <v/>
      </c>
      <c r="O106">
        <f>IF($B106="","",IF($D106=$H106,$B106,IF(AND($K106&lt;&gt;"",$L106&lt;&gt;"",$M106=$N106),$B106*$K106/$L106,$B106)))</f>
        <v/>
      </c>
      <c r="P106">
        <f>IF(OR($B106="",$G106=""),0,$O106*$G106)</f>
        <v/>
      </c>
    </row>
    <row r="107">
      <c r="I107">
        <f>IF($A107="","",COUNTIF($A$2:$A107,$A107))</f>
        <v/>
      </c>
      <c r="J107">
        <f>IF($A107="","",$A107&amp;"|"&amp;$I107)</f>
        <v/>
      </c>
      <c r="K107">
        <f>IF($D107="","",IFERROR(VLOOKUP(LOWER($D107),UnitsTable,3,0),""))</f>
        <v/>
      </c>
      <c r="L107">
        <f>IF($H107="","",IFERROR(VLOOKUP(LOWER($H107),UnitsTable,3,0),""))</f>
        <v/>
      </c>
      <c r="M107">
        <f>IF($D107="","",IFERROR(VLOOKUP(LOWER($D107),UnitsTable,2,0),""))</f>
        <v/>
      </c>
      <c r="N107">
        <f>IF($H107="","",IFERROR(VLOOKUP(LOWER($H107),UnitsTable,2,0),""))</f>
        <v/>
      </c>
      <c r="O107">
        <f>IF($B107="","",IF($D107=$H107,$B107,IF(AND($K107&lt;&gt;"",$L107&lt;&gt;"",$M107=$N107),$B107*$K107/$L107,$B107)))</f>
        <v/>
      </c>
      <c r="P107">
        <f>IF(OR($B107="",$G107=""),0,$O107*$G107)</f>
        <v/>
      </c>
    </row>
    <row r="108">
      <c r="I108">
        <f>IF($A108="","",COUNTIF($A$2:$A108,$A108))</f>
        <v/>
      </c>
      <c r="J108">
        <f>IF($A108="","",$A108&amp;"|"&amp;$I108)</f>
        <v/>
      </c>
      <c r="K108">
        <f>IF($D108="","",IFERROR(VLOOKUP(LOWER($D108),UnitsTable,3,0),""))</f>
        <v/>
      </c>
      <c r="L108">
        <f>IF($H108="","",IFERROR(VLOOKUP(LOWER($H108),UnitsTable,3,0),""))</f>
        <v/>
      </c>
      <c r="M108">
        <f>IF($D108="","",IFERROR(VLOOKUP(LOWER($D108),UnitsTable,2,0),""))</f>
        <v/>
      </c>
      <c r="N108">
        <f>IF($H108="","",IFERROR(VLOOKUP(LOWER($H108),UnitsTable,2,0),""))</f>
        <v/>
      </c>
      <c r="O108">
        <f>IF($B108="","",IF($D108=$H108,$B108,IF(AND($K108&lt;&gt;"",$L108&lt;&gt;"",$M108=$N108),$B108*$K108/$L108,$B108)))</f>
        <v/>
      </c>
      <c r="P108">
        <f>IF(OR($B108="",$G108=""),0,$O108*$G108)</f>
        <v/>
      </c>
    </row>
    <row r="109">
      <c r="I109">
        <f>IF($A109="","",COUNTIF($A$2:$A109,$A109))</f>
        <v/>
      </c>
      <c r="J109">
        <f>IF($A109="","",$A109&amp;"|"&amp;$I109)</f>
        <v/>
      </c>
      <c r="K109">
        <f>IF($D109="","",IFERROR(VLOOKUP(LOWER($D109),UnitsTable,3,0),""))</f>
        <v/>
      </c>
      <c r="L109">
        <f>IF($H109="","",IFERROR(VLOOKUP(LOWER($H109),UnitsTable,3,0),""))</f>
        <v/>
      </c>
      <c r="M109">
        <f>IF($D109="","",IFERROR(VLOOKUP(LOWER($D109),UnitsTable,2,0),""))</f>
        <v/>
      </c>
      <c r="N109">
        <f>IF($H109="","",IFERROR(VLOOKUP(LOWER($H109),UnitsTable,2,0),""))</f>
        <v/>
      </c>
      <c r="O109">
        <f>IF($B109="","",IF($D109=$H109,$B109,IF(AND($K109&lt;&gt;"",$L109&lt;&gt;"",$M109=$N109),$B109*$K109/$L109,$B109)))</f>
        <v/>
      </c>
      <c r="P109">
        <f>IF(OR($B109="",$G109=""),0,$O109*$G109)</f>
        <v/>
      </c>
    </row>
    <row r="110">
      <c r="I110">
        <f>IF($A110="","",COUNTIF($A$2:$A110,$A110))</f>
        <v/>
      </c>
      <c r="J110">
        <f>IF($A110="","",$A110&amp;"|"&amp;$I110)</f>
        <v/>
      </c>
      <c r="K110">
        <f>IF($D110="","",IFERROR(VLOOKUP(LOWER($D110),UnitsTable,3,0),""))</f>
        <v/>
      </c>
      <c r="L110">
        <f>IF($H110="","",IFERROR(VLOOKUP(LOWER($H110),UnitsTable,3,0),""))</f>
        <v/>
      </c>
      <c r="M110">
        <f>IF($D110="","",IFERROR(VLOOKUP(LOWER($D110),UnitsTable,2,0),""))</f>
        <v/>
      </c>
      <c r="N110">
        <f>IF($H110="","",IFERROR(VLOOKUP(LOWER($H110),UnitsTable,2,0),""))</f>
        <v/>
      </c>
      <c r="O110">
        <f>IF($B110="","",IF($D110=$H110,$B110,IF(AND($K110&lt;&gt;"",$L110&lt;&gt;"",$M110=$N110),$B110*$K110/$L110,$B110)))</f>
        <v/>
      </c>
      <c r="P110">
        <f>IF(OR($B110="",$G110=""),0,$O110*$G110)</f>
        <v/>
      </c>
    </row>
    <row r="111">
      <c r="I111">
        <f>IF($A111="","",COUNTIF($A$2:$A111,$A111))</f>
        <v/>
      </c>
      <c r="J111">
        <f>IF($A111="","",$A111&amp;"|"&amp;$I111)</f>
        <v/>
      </c>
      <c r="K111">
        <f>IF($D111="","",IFERROR(VLOOKUP(LOWER($D111),UnitsTable,3,0),""))</f>
        <v/>
      </c>
      <c r="L111">
        <f>IF($H111="","",IFERROR(VLOOKUP(LOWER($H111),UnitsTable,3,0),""))</f>
        <v/>
      </c>
      <c r="M111">
        <f>IF($D111="","",IFERROR(VLOOKUP(LOWER($D111),UnitsTable,2,0),""))</f>
        <v/>
      </c>
      <c r="N111">
        <f>IF($H111="","",IFERROR(VLOOKUP(LOWER($H111),UnitsTable,2,0),""))</f>
        <v/>
      </c>
      <c r="O111">
        <f>IF($B111="","",IF($D111=$H111,$B111,IF(AND($K111&lt;&gt;"",$L111&lt;&gt;"",$M111=$N111),$B111*$K111/$L111,$B111)))</f>
        <v/>
      </c>
      <c r="P111">
        <f>IF(OR($B111="",$G111=""),0,$O111*$G111)</f>
        <v/>
      </c>
    </row>
    <row r="112">
      <c r="I112">
        <f>IF($A112="","",COUNTIF($A$2:$A112,$A112))</f>
        <v/>
      </c>
      <c r="J112">
        <f>IF($A112="","",$A112&amp;"|"&amp;$I112)</f>
        <v/>
      </c>
      <c r="K112">
        <f>IF($D112="","",IFERROR(VLOOKUP(LOWER($D112),UnitsTable,3,0),""))</f>
        <v/>
      </c>
      <c r="L112">
        <f>IF($H112="","",IFERROR(VLOOKUP(LOWER($H112),UnitsTable,3,0),""))</f>
        <v/>
      </c>
      <c r="M112">
        <f>IF($D112="","",IFERROR(VLOOKUP(LOWER($D112),UnitsTable,2,0),""))</f>
        <v/>
      </c>
      <c r="N112">
        <f>IF($H112="","",IFERROR(VLOOKUP(LOWER($H112),UnitsTable,2,0),""))</f>
        <v/>
      </c>
      <c r="O112">
        <f>IF($B112="","",IF($D112=$H112,$B112,IF(AND($K112&lt;&gt;"",$L112&lt;&gt;"",$M112=$N112),$B112*$K112/$L112,$B112)))</f>
        <v/>
      </c>
      <c r="P112">
        <f>IF(OR($B112="",$G112=""),0,$O112*$G112)</f>
        <v/>
      </c>
    </row>
    <row r="113">
      <c r="I113">
        <f>IF($A113="","",COUNTIF($A$2:$A113,$A113))</f>
        <v/>
      </c>
      <c r="J113">
        <f>IF($A113="","",$A113&amp;"|"&amp;$I113)</f>
        <v/>
      </c>
      <c r="K113">
        <f>IF($D113="","",IFERROR(VLOOKUP(LOWER($D113),UnitsTable,3,0),""))</f>
        <v/>
      </c>
      <c r="L113">
        <f>IF($H113="","",IFERROR(VLOOKUP(LOWER($H113),UnitsTable,3,0),""))</f>
        <v/>
      </c>
      <c r="M113">
        <f>IF($D113="","",IFERROR(VLOOKUP(LOWER($D113),UnitsTable,2,0),""))</f>
        <v/>
      </c>
      <c r="N113">
        <f>IF($H113="","",IFERROR(VLOOKUP(LOWER($H113),UnitsTable,2,0),""))</f>
        <v/>
      </c>
      <c r="O113">
        <f>IF($B113="","",IF($D113=$H113,$B113,IF(AND($K113&lt;&gt;"",$L113&lt;&gt;"",$M113=$N113),$B113*$K113/$L113,$B113)))</f>
        <v/>
      </c>
      <c r="P113">
        <f>IF(OR($B113="",$G113=""),0,$O113*$G113)</f>
        <v/>
      </c>
    </row>
    <row r="114">
      <c r="I114">
        <f>IF($A114="","",COUNTIF($A$2:$A114,$A114))</f>
        <v/>
      </c>
      <c r="J114">
        <f>IF($A114="","",$A114&amp;"|"&amp;$I114)</f>
        <v/>
      </c>
      <c r="K114">
        <f>IF($D114="","",IFERROR(VLOOKUP(LOWER($D114),UnitsTable,3,0),""))</f>
        <v/>
      </c>
      <c r="L114">
        <f>IF($H114="","",IFERROR(VLOOKUP(LOWER($H114),UnitsTable,3,0),""))</f>
        <v/>
      </c>
      <c r="M114">
        <f>IF($D114="","",IFERROR(VLOOKUP(LOWER($D114),UnitsTable,2,0),""))</f>
        <v/>
      </c>
      <c r="N114">
        <f>IF($H114="","",IFERROR(VLOOKUP(LOWER($H114),UnitsTable,2,0),""))</f>
        <v/>
      </c>
      <c r="O114">
        <f>IF($B114="","",IF($D114=$H114,$B114,IF(AND($K114&lt;&gt;"",$L114&lt;&gt;"",$M114=$N114),$B114*$K114/$L114,$B114)))</f>
        <v/>
      </c>
      <c r="P114">
        <f>IF(OR($B114="",$G114=""),0,$O114*$G114)</f>
        <v/>
      </c>
    </row>
    <row r="115">
      <c r="I115">
        <f>IF($A115="","",COUNTIF($A$2:$A115,$A115))</f>
        <v/>
      </c>
      <c r="J115">
        <f>IF($A115="","",$A115&amp;"|"&amp;$I115)</f>
        <v/>
      </c>
      <c r="K115">
        <f>IF($D115="","",IFERROR(VLOOKUP(LOWER($D115),UnitsTable,3,0),""))</f>
        <v/>
      </c>
      <c r="L115">
        <f>IF($H115="","",IFERROR(VLOOKUP(LOWER($H115),UnitsTable,3,0),""))</f>
        <v/>
      </c>
      <c r="M115">
        <f>IF($D115="","",IFERROR(VLOOKUP(LOWER($D115),UnitsTable,2,0),""))</f>
        <v/>
      </c>
      <c r="N115">
        <f>IF($H115="","",IFERROR(VLOOKUP(LOWER($H115),UnitsTable,2,0),""))</f>
        <v/>
      </c>
      <c r="O115">
        <f>IF($B115="","",IF($D115=$H115,$B115,IF(AND($K115&lt;&gt;"",$L115&lt;&gt;"",$M115=$N115),$B115*$K115/$L115,$B115)))</f>
        <v/>
      </c>
      <c r="P115">
        <f>IF(OR($B115="",$G115=""),0,$O115*$G115)</f>
        <v/>
      </c>
    </row>
    <row r="116">
      <c r="I116">
        <f>IF($A116="","",COUNTIF($A$2:$A116,$A116))</f>
        <v/>
      </c>
      <c r="J116">
        <f>IF($A116="","",$A116&amp;"|"&amp;$I116)</f>
        <v/>
      </c>
      <c r="K116">
        <f>IF($D116="","",IFERROR(VLOOKUP(LOWER($D116),UnitsTable,3,0),""))</f>
        <v/>
      </c>
      <c r="L116">
        <f>IF($H116="","",IFERROR(VLOOKUP(LOWER($H116),UnitsTable,3,0),""))</f>
        <v/>
      </c>
      <c r="M116">
        <f>IF($D116="","",IFERROR(VLOOKUP(LOWER($D116),UnitsTable,2,0),""))</f>
        <v/>
      </c>
      <c r="N116">
        <f>IF($H116="","",IFERROR(VLOOKUP(LOWER($H116),UnitsTable,2,0),""))</f>
        <v/>
      </c>
      <c r="O116">
        <f>IF($B116="","",IF($D116=$H116,$B116,IF(AND($K116&lt;&gt;"",$L116&lt;&gt;"",$M116=$N116),$B116*$K116/$L116,$B116)))</f>
        <v/>
      </c>
      <c r="P116">
        <f>IF(OR($B116="",$G116=""),0,$O116*$G116)</f>
        <v/>
      </c>
    </row>
    <row r="117">
      <c r="I117">
        <f>IF($A117="","",COUNTIF($A$2:$A117,$A117))</f>
        <v/>
      </c>
      <c r="J117">
        <f>IF($A117="","",$A117&amp;"|"&amp;$I117)</f>
        <v/>
      </c>
      <c r="K117">
        <f>IF($D117="","",IFERROR(VLOOKUP(LOWER($D117),UnitsTable,3,0),""))</f>
        <v/>
      </c>
      <c r="L117">
        <f>IF($H117="","",IFERROR(VLOOKUP(LOWER($H117),UnitsTable,3,0),""))</f>
        <v/>
      </c>
      <c r="M117">
        <f>IF($D117="","",IFERROR(VLOOKUP(LOWER($D117),UnitsTable,2,0),""))</f>
        <v/>
      </c>
      <c r="N117">
        <f>IF($H117="","",IFERROR(VLOOKUP(LOWER($H117),UnitsTable,2,0),""))</f>
        <v/>
      </c>
      <c r="O117">
        <f>IF($B117="","",IF($D117=$H117,$B117,IF(AND($K117&lt;&gt;"",$L117&lt;&gt;"",$M117=$N117),$B117*$K117/$L117,$B117)))</f>
        <v/>
      </c>
      <c r="P117">
        <f>IF(OR($B117="",$G117=""),0,$O117*$G117)</f>
        <v/>
      </c>
    </row>
    <row r="118">
      <c r="I118">
        <f>IF($A118="","",COUNTIF($A$2:$A118,$A118))</f>
        <v/>
      </c>
      <c r="J118">
        <f>IF($A118="","",$A118&amp;"|"&amp;$I118)</f>
        <v/>
      </c>
      <c r="K118">
        <f>IF($D118="","",IFERROR(VLOOKUP(LOWER($D118),UnitsTable,3,0),""))</f>
        <v/>
      </c>
      <c r="L118">
        <f>IF($H118="","",IFERROR(VLOOKUP(LOWER($H118),UnitsTable,3,0),""))</f>
        <v/>
      </c>
      <c r="M118">
        <f>IF($D118="","",IFERROR(VLOOKUP(LOWER($D118),UnitsTable,2,0),""))</f>
        <v/>
      </c>
      <c r="N118">
        <f>IF($H118="","",IFERROR(VLOOKUP(LOWER($H118),UnitsTable,2,0),""))</f>
        <v/>
      </c>
      <c r="O118">
        <f>IF($B118="","",IF($D118=$H118,$B118,IF(AND($K118&lt;&gt;"",$L118&lt;&gt;"",$M118=$N118),$B118*$K118/$L118,$B118)))</f>
        <v/>
      </c>
      <c r="P118">
        <f>IF(OR($B118="",$G118=""),0,$O118*$G118)</f>
        <v/>
      </c>
    </row>
    <row r="119">
      <c r="I119">
        <f>IF($A119="","",COUNTIF($A$2:$A119,$A119))</f>
        <v/>
      </c>
      <c r="J119">
        <f>IF($A119="","",$A119&amp;"|"&amp;$I119)</f>
        <v/>
      </c>
      <c r="K119">
        <f>IF($D119="","",IFERROR(VLOOKUP(LOWER($D119),UnitsTable,3,0),""))</f>
        <v/>
      </c>
      <c r="L119">
        <f>IF($H119="","",IFERROR(VLOOKUP(LOWER($H119),UnitsTable,3,0),""))</f>
        <v/>
      </c>
      <c r="M119">
        <f>IF($D119="","",IFERROR(VLOOKUP(LOWER($D119),UnitsTable,2,0),""))</f>
        <v/>
      </c>
      <c r="N119">
        <f>IF($H119="","",IFERROR(VLOOKUP(LOWER($H119),UnitsTable,2,0),""))</f>
        <v/>
      </c>
      <c r="O119">
        <f>IF($B119="","",IF($D119=$H119,$B119,IF(AND($K119&lt;&gt;"",$L119&lt;&gt;"",$M119=$N119),$B119*$K119/$L119,$B119)))</f>
        <v/>
      </c>
      <c r="P119">
        <f>IF(OR($B119="",$G119=""),0,$O119*$G119)</f>
        <v/>
      </c>
    </row>
    <row r="120">
      <c r="I120">
        <f>IF($A120="","",COUNTIF($A$2:$A120,$A120))</f>
        <v/>
      </c>
      <c r="J120">
        <f>IF($A120="","",$A120&amp;"|"&amp;$I120)</f>
        <v/>
      </c>
      <c r="K120">
        <f>IF($D120="","",IFERROR(VLOOKUP(LOWER($D120),UnitsTable,3,0),""))</f>
        <v/>
      </c>
      <c r="L120">
        <f>IF($H120="","",IFERROR(VLOOKUP(LOWER($H120),UnitsTable,3,0),""))</f>
        <v/>
      </c>
      <c r="M120">
        <f>IF($D120="","",IFERROR(VLOOKUP(LOWER($D120),UnitsTable,2,0),""))</f>
        <v/>
      </c>
      <c r="N120">
        <f>IF($H120="","",IFERROR(VLOOKUP(LOWER($H120),UnitsTable,2,0),""))</f>
        <v/>
      </c>
      <c r="O120">
        <f>IF($B120="","",IF($D120=$H120,$B120,IF(AND($K120&lt;&gt;"",$L120&lt;&gt;"",$M120=$N120),$B120*$K120/$L120,$B120)))</f>
        <v/>
      </c>
      <c r="P120">
        <f>IF(OR($B120="",$G120=""),0,$O120*$G120)</f>
        <v/>
      </c>
    </row>
    <row r="121">
      <c r="I121">
        <f>IF($A121="","",COUNTIF($A$2:$A121,$A121))</f>
        <v/>
      </c>
      <c r="J121">
        <f>IF($A121="","",$A121&amp;"|"&amp;$I121)</f>
        <v/>
      </c>
      <c r="K121">
        <f>IF($D121="","",IFERROR(VLOOKUP(LOWER($D121),UnitsTable,3,0),""))</f>
        <v/>
      </c>
      <c r="L121">
        <f>IF($H121="","",IFERROR(VLOOKUP(LOWER($H121),UnitsTable,3,0),""))</f>
        <v/>
      </c>
      <c r="M121">
        <f>IF($D121="","",IFERROR(VLOOKUP(LOWER($D121),UnitsTable,2,0),""))</f>
        <v/>
      </c>
      <c r="N121">
        <f>IF($H121="","",IFERROR(VLOOKUP(LOWER($H121),UnitsTable,2,0),""))</f>
        <v/>
      </c>
      <c r="O121">
        <f>IF($B121="","",IF($D121=$H121,$B121,IF(AND($K121&lt;&gt;"",$L121&lt;&gt;"",$M121=$N121),$B121*$K121/$L121,$B121)))</f>
        <v/>
      </c>
      <c r="P121">
        <f>IF(OR($B121="",$G121=""),0,$O121*$G121)</f>
        <v/>
      </c>
    </row>
    <row r="122">
      <c r="I122">
        <f>IF($A122="","",COUNTIF($A$2:$A122,$A122))</f>
        <v/>
      </c>
      <c r="J122">
        <f>IF($A122="","",$A122&amp;"|"&amp;$I122)</f>
        <v/>
      </c>
      <c r="K122">
        <f>IF($D122="","",IFERROR(VLOOKUP(LOWER($D122),UnitsTable,3,0),""))</f>
        <v/>
      </c>
      <c r="L122">
        <f>IF($H122="","",IFERROR(VLOOKUP(LOWER($H122),UnitsTable,3,0),""))</f>
        <v/>
      </c>
      <c r="M122">
        <f>IF($D122="","",IFERROR(VLOOKUP(LOWER($D122),UnitsTable,2,0),""))</f>
        <v/>
      </c>
      <c r="N122">
        <f>IF($H122="","",IFERROR(VLOOKUP(LOWER($H122),UnitsTable,2,0),""))</f>
        <v/>
      </c>
      <c r="O122">
        <f>IF($B122="","",IF($D122=$H122,$B122,IF(AND($K122&lt;&gt;"",$L122&lt;&gt;"",$M122=$N122),$B122*$K122/$L122,$B122)))</f>
        <v/>
      </c>
      <c r="P122">
        <f>IF(OR($B122="",$G122=""),0,$O122*$G122)</f>
        <v/>
      </c>
    </row>
    <row r="123">
      <c r="I123">
        <f>IF($A123="","",COUNTIF($A$2:$A123,$A123))</f>
        <v/>
      </c>
      <c r="J123">
        <f>IF($A123="","",$A123&amp;"|"&amp;$I123)</f>
        <v/>
      </c>
      <c r="K123">
        <f>IF($D123="","",IFERROR(VLOOKUP(LOWER($D123),UnitsTable,3,0),""))</f>
        <v/>
      </c>
      <c r="L123">
        <f>IF($H123="","",IFERROR(VLOOKUP(LOWER($H123),UnitsTable,3,0),""))</f>
        <v/>
      </c>
      <c r="M123">
        <f>IF($D123="","",IFERROR(VLOOKUP(LOWER($D123),UnitsTable,2,0),""))</f>
        <v/>
      </c>
      <c r="N123">
        <f>IF($H123="","",IFERROR(VLOOKUP(LOWER($H123),UnitsTable,2,0),""))</f>
        <v/>
      </c>
      <c r="O123">
        <f>IF($B123="","",IF($D123=$H123,$B123,IF(AND($K123&lt;&gt;"",$L123&lt;&gt;"",$M123=$N123),$B123*$K123/$L123,$B123)))</f>
        <v/>
      </c>
      <c r="P123">
        <f>IF(OR($B123="",$G123=""),0,$O123*$G123)</f>
        <v/>
      </c>
    </row>
    <row r="124">
      <c r="I124">
        <f>IF($A124="","",COUNTIF($A$2:$A124,$A124))</f>
        <v/>
      </c>
      <c r="J124">
        <f>IF($A124="","",$A124&amp;"|"&amp;$I124)</f>
        <v/>
      </c>
      <c r="K124">
        <f>IF($D124="","",IFERROR(VLOOKUP(LOWER($D124),UnitsTable,3,0),""))</f>
        <v/>
      </c>
      <c r="L124">
        <f>IF($H124="","",IFERROR(VLOOKUP(LOWER($H124),UnitsTable,3,0),""))</f>
        <v/>
      </c>
      <c r="M124">
        <f>IF($D124="","",IFERROR(VLOOKUP(LOWER($D124),UnitsTable,2,0),""))</f>
        <v/>
      </c>
      <c r="N124">
        <f>IF($H124="","",IFERROR(VLOOKUP(LOWER($H124),UnitsTable,2,0),""))</f>
        <v/>
      </c>
      <c r="O124">
        <f>IF($B124="","",IF($D124=$H124,$B124,IF(AND($K124&lt;&gt;"",$L124&lt;&gt;"",$M124=$N124),$B124*$K124/$L124,$B124)))</f>
        <v/>
      </c>
      <c r="P124">
        <f>IF(OR($B124="",$G124=""),0,$O124*$G124)</f>
        <v/>
      </c>
    </row>
    <row r="125">
      <c r="I125">
        <f>IF($A125="","",COUNTIF($A$2:$A125,$A125))</f>
        <v/>
      </c>
      <c r="J125">
        <f>IF($A125="","",$A125&amp;"|"&amp;$I125)</f>
        <v/>
      </c>
      <c r="K125">
        <f>IF($D125="","",IFERROR(VLOOKUP(LOWER($D125),UnitsTable,3,0),""))</f>
        <v/>
      </c>
      <c r="L125">
        <f>IF($H125="","",IFERROR(VLOOKUP(LOWER($H125),UnitsTable,3,0),""))</f>
        <v/>
      </c>
      <c r="M125">
        <f>IF($D125="","",IFERROR(VLOOKUP(LOWER($D125),UnitsTable,2,0),""))</f>
        <v/>
      </c>
      <c r="N125">
        <f>IF($H125="","",IFERROR(VLOOKUP(LOWER($H125),UnitsTable,2,0),""))</f>
        <v/>
      </c>
      <c r="O125">
        <f>IF($B125="","",IF($D125=$H125,$B125,IF(AND($K125&lt;&gt;"",$L125&lt;&gt;"",$M125=$N125),$B125*$K125/$L125,$B125)))</f>
        <v/>
      </c>
      <c r="P125">
        <f>IF(OR($B125="",$G125=""),0,$O125*$G125)</f>
        <v/>
      </c>
    </row>
    <row r="126">
      <c r="I126">
        <f>IF($A126="","",COUNTIF($A$2:$A126,$A126))</f>
        <v/>
      </c>
      <c r="J126">
        <f>IF($A126="","",$A126&amp;"|"&amp;$I126)</f>
        <v/>
      </c>
      <c r="K126">
        <f>IF($D126="","",IFERROR(VLOOKUP(LOWER($D126),UnitsTable,3,0),""))</f>
        <v/>
      </c>
      <c r="L126">
        <f>IF($H126="","",IFERROR(VLOOKUP(LOWER($H126),UnitsTable,3,0),""))</f>
        <v/>
      </c>
      <c r="M126">
        <f>IF($D126="","",IFERROR(VLOOKUP(LOWER($D126),UnitsTable,2,0),""))</f>
        <v/>
      </c>
      <c r="N126">
        <f>IF($H126="","",IFERROR(VLOOKUP(LOWER($H126),UnitsTable,2,0),""))</f>
        <v/>
      </c>
      <c r="O126">
        <f>IF($B126="","",IF($D126=$H126,$B126,IF(AND($K126&lt;&gt;"",$L126&lt;&gt;"",$M126=$N126),$B126*$K126/$L126,$B126)))</f>
        <v/>
      </c>
      <c r="P126">
        <f>IF(OR($B126="",$G126=""),0,$O126*$G126)</f>
        <v/>
      </c>
    </row>
    <row r="127">
      <c r="I127">
        <f>IF($A127="","",COUNTIF($A$2:$A127,$A127))</f>
        <v/>
      </c>
      <c r="J127">
        <f>IF($A127="","",$A127&amp;"|"&amp;$I127)</f>
        <v/>
      </c>
      <c r="K127">
        <f>IF($D127="","",IFERROR(VLOOKUP(LOWER($D127),UnitsTable,3,0),""))</f>
        <v/>
      </c>
      <c r="L127">
        <f>IF($H127="","",IFERROR(VLOOKUP(LOWER($H127),UnitsTable,3,0),""))</f>
        <v/>
      </c>
      <c r="M127">
        <f>IF($D127="","",IFERROR(VLOOKUP(LOWER($D127),UnitsTable,2,0),""))</f>
        <v/>
      </c>
      <c r="N127">
        <f>IF($H127="","",IFERROR(VLOOKUP(LOWER($H127),UnitsTable,2,0),""))</f>
        <v/>
      </c>
      <c r="O127">
        <f>IF($B127="","",IF($D127=$H127,$B127,IF(AND($K127&lt;&gt;"",$L127&lt;&gt;"",$M127=$N127),$B127*$K127/$L127,$B127)))</f>
        <v/>
      </c>
      <c r="P127">
        <f>IF(OR($B127="",$G127=""),0,$O127*$G127)</f>
        <v/>
      </c>
    </row>
    <row r="128">
      <c r="I128">
        <f>IF($A128="","",COUNTIF($A$2:$A128,$A128))</f>
        <v/>
      </c>
      <c r="J128">
        <f>IF($A128="","",$A128&amp;"|"&amp;$I128)</f>
        <v/>
      </c>
      <c r="K128">
        <f>IF($D128="","",IFERROR(VLOOKUP(LOWER($D128),UnitsTable,3,0),""))</f>
        <v/>
      </c>
      <c r="L128">
        <f>IF($H128="","",IFERROR(VLOOKUP(LOWER($H128),UnitsTable,3,0),""))</f>
        <v/>
      </c>
      <c r="M128">
        <f>IF($D128="","",IFERROR(VLOOKUP(LOWER($D128),UnitsTable,2,0),""))</f>
        <v/>
      </c>
      <c r="N128">
        <f>IF($H128="","",IFERROR(VLOOKUP(LOWER($H128),UnitsTable,2,0),""))</f>
        <v/>
      </c>
      <c r="O128">
        <f>IF($B128="","",IF($D128=$H128,$B128,IF(AND($K128&lt;&gt;"",$L128&lt;&gt;"",$M128=$N128),$B128*$K128/$L128,$B128)))</f>
        <v/>
      </c>
      <c r="P128">
        <f>IF(OR($B128="",$G128=""),0,$O128*$G128)</f>
        <v/>
      </c>
    </row>
    <row r="129">
      <c r="I129">
        <f>IF($A129="","",COUNTIF($A$2:$A129,$A129))</f>
        <v/>
      </c>
      <c r="J129">
        <f>IF($A129="","",$A129&amp;"|"&amp;$I129)</f>
        <v/>
      </c>
      <c r="K129">
        <f>IF($D129="","",IFERROR(VLOOKUP(LOWER($D129),UnitsTable,3,0),""))</f>
        <v/>
      </c>
      <c r="L129">
        <f>IF($H129="","",IFERROR(VLOOKUP(LOWER($H129),UnitsTable,3,0),""))</f>
        <v/>
      </c>
      <c r="M129">
        <f>IF($D129="","",IFERROR(VLOOKUP(LOWER($D129),UnitsTable,2,0),""))</f>
        <v/>
      </c>
      <c r="N129">
        <f>IF($H129="","",IFERROR(VLOOKUP(LOWER($H129),UnitsTable,2,0),""))</f>
        <v/>
      </c>
      <c r="O129">
        <f>IF($B129="","",IF($D129=$H129,$B129,IF(AND($K129&lt;&gt;"",$L129&lt;&gt;"",$M129=$N129),$B129*$K129/$L129,$B129)))</f>
        <v/>
      </c>
      <c r="P129">
        <f>IF(OR($B129="",$G129=""),0,$O129*$G129)</f>
        <v/>
      </c>
    </row>
    <row r="130">
      <c r="I130">
        <f>IF($A130="","",COUNTIF($A$2:$A130,$A130))</f>
        <v/>
      </c>
      <c r="J130">
        <f>IF($A130="","",$A130&amp;"|"&amp;$I130)</f>
        <v/>
      </c>
      <c r="K130">
        <f>IF($D130="","",IFERROR(VLOOKUP(LOWER($D130),UnitsTable,3,0),""))</f>
        <v/>
      </c>
      <c r="L130">
        <f>IF($H130="","",IFERROR(VLOOKUP(LOWER($H130),UnitsTable,3,0),""))</f>
        <v/>
      </c>
      <c r="M130">
        <f>IF($D130="","",IFERROR(VLOOKUP(LOWER($D130),UnitsTable,2,0),""))</f>
        <v/>
      </c>
      <c r="N130">
        <f>IF($H130="","",IFERROR(VLOOKUP(LOWER($H130),UnitsTable,2,0),""))</f>
        <v/>
      </c>
      <c r="O130">
        <f>IF($B130="","",IF($D130=$H130,$B130,IF(AND($K130&lt;&gt;"",$L130&lt;&gt;"",$M130=$N130),$B130*$K130/$L130,$B130)))</f>
        <v/>
      </c>
      <c r="P130">
        <f>IF(OR($B130="",$G130=""),0,$O130*$G130)</f>
        <v/>
      </c>
    </row>
    <row r="131">
      <c r="I131">
        <f>IF($A131="","",COUNTIF($A$2:$A131,$A131))</f>
        <v/>
      </c>
      <c r="J131">
        <f>IF($A131="","",$A131&amp;"|"&amp;$I131)</f>
        <v/>
      </c>
      <c r="K131">
        <f>IF($D131="","",IFERROR(VLOOKUP(LOWER($D131),UnitsTable,3,0),""))</f>
        <v/>
      </c>
      <c r="L131">
        <f>IF($H131="","",IFERROR(VLOOKUP(LOWER($H131),UnitsTable,3,0),""))</f>
        <v/>
      </c>
      <c r="M131">
        <f>IF($D131="","",IFERROR(VLOOKUP(LOWER($D131),UnitsTable,2,0),""))</f>
        <v/>
      </c>
      <c r="N131">
        <f>IF($H131="","",IFERROR(VLOOKUP(LOWER($H131),UnitsTable,2,0),""))</f>
        <v/>
      </c>
      <c r="O131">
        <f>IF($B131="","",IF($D131=$H131,$B131,IF(AND($K131&lt;&gt;"",$L131&lt;&gt;"",$M131=$N131),$B131*$K131/$L131,$B131)))</f>
        <v/>
      </c>
      <c r="P131">
        <f>IF(OR($B131="",$G131=""),0,$O131*$G131)</f>
        <v/>
      </c>
    </row>
    <row r="132">
      <c r="I132">
        <f>IF($A132="","",COUNTIF($A$2:$A132,$A132))</f>
        <v/>
      </c>
      <c r="J132">
        <f>IF($A132="","",$A132&amp;"|"&amp;$I132)</f>
        <v/>
      </c>
      <c r="K132">
        <f>IF($D132="","",IFERROR(VLOOKUP(LOWER($D132),UnitsTable,3,0),""))</f>
        <v/>
      </c>
      <c r="L132">
        <f>IF($H132="","",IFERROR(VLOOKUP(LOWER($H132),UnitsTable,3,0),""))</f>
        <v/>
      </c>
      <c r="M132">
        <f>IF($D132="","",IFERROR(VLOOKUP(LOWER($D132),UnitsTable,2,0),""))</f>
        <v/>
      </c>
      <c r="N132">
        <f>IF($H132="","",IFERROR(VLOOKUP(LOWER($H132),UnitsTable,2,0),""))</f>
        <v/>
      </c>
      <c r="O132">
        <f>IF($B132="","",IF($D132=$H132,$B132,IF(AND($K132&lt;&gt;"",$L132&lt;&gt;"",$M132=$N132),$B132*$K132/$L132,$B132)))</f>
        <v/>
      </c>
      <c r="P132">
        <f>IF(OR($B132="",$G132=""),0,$O132*$G132)</f>
        <v/>
      </c>
    </row>
    <row r="133">
      <c r="I133">
        <f>IF($A133="","",COUNTIF($A$2:$A133,$A133))</f>
        <v/>
      </c>
      <c r="J133">
        <f>IF($A133="","",$A133&amp;"|"&amp;$I133)</f>
        <v/>
      </c>
      <c r="K133">
        <f>IF($D133="","",IFERROR(VLOOKUP(LOWER($D133),UnitsTable,3,0),""))</f>
        <v/>
      </c>
      <c r="L133">
        <f>IF($H133="","",IFERROR(VLOOKUP(LOWER($H133),UnitsTable,3,0),""))</f>
        <v/>
      </c>
      <c r="M133">
        <f>IF($D133="","",IFERROR(VLOOKUP(LOWER($D133),UnitsTable,2,0),""))</f>
        <v/>
      </c>
      <c r="N133">
        <f>IF($H133="","",IFERROR(VLOOKUP(LOWER($H133),UnitsTable,2,0),""))</f>
        <v/>
      </c>
      <c r="O133">
        <f>IF($B133="","",IF($D133=$H133,$B133,IF(AND($K133&lt;&gt;"",$L133&lt;&gt;"",$M133=$N133),$B133*$K133/$L133,$B133)))</f>
        <v/>
      </c>
      <c r="P133">
        <f>IF(OR($B133="",$G133=""),0,$O133*$G133)</f>
        <v/>
      </c>
    </row>
    <row r="134">
      <c r="I134">
        <f>IF($A134="","",COUNTIF($A$2:$A134,$A134))</f>
        <v/>
      </c>
      <c r="J134">
        <f>IF($A134="","",$A134&amp;"|"&amp;$I134)</f>
        <v/>
      </c>
      <c r="K134">
        <f>IF($D134="","",IFERROR(VLOOKUP(LOWER($D134),UnitsTable,3,0),""))</f>
        <v/>
      </c>
      <c r="L134">
        <f>IF($H134="","",IFERROR(VLOOKUP(LOWER($H134),UnitsTable,3,0),""))</f>
        <v/>
      </c>
      <c r="M134">
        <f>IF($D134="","",IFERROR(VLOOKUP(LOWER($D134),UnitsTable,2,0),""))</f>
        <v/>
      </c>
      <c r="N134">
        <f>IF($H134="","",IFERROR(VLOOKUP(LOWER($H134),UnitsTable,2,0),""))</f>
        <v/>
      </c>
      <c r="O134">
        <f>IF($B134="","",IF($D134=$H134,$B134,IF(AND($K134&lt;&gt;"",$L134&lt;&gt;"",$M134=$N134),$B134*$K134/$L134,$B134)))</f>
        <v/>
      </c>
      <c r="P134">
        <f>IF(OR($B134="",$G134=""),0,$O134*$G134)</f>
        <v/>
      </c>
    </row>
    <row r="135">
      <c r="I135">
        <f>IF($A135="","",COUNTIF($A$2:$A135,$A135))</f>
        <v/>
      </c>
      <c r="J135">
        <f>IF($A135="","",$A135&amp;"|"&amp;$I135)</f>
        <v/>
      </c>
      <c r="K135">
        <f>IF($D135="","",IFERROR(VLOOKUP(LOWER($D135),UnitsTable,3,0),""))</f>
        <v/>
      </c>
      <c r="L135">
        <f>IF($H135="","",IFERROR(VLOOKUP(LOWER($H135),UnitsTable,3,0),""))</f>
        <v/>
      </c>
      <c r="M135">
        <f>IF($D135="","",IFERROR(VLOOKUP(LOWER($D135),UnitsTable,2,0),""))</f>
        <v/>
      </c>
      <c r="N135">
        <f>IF($H135="","",IFERROR(VLOOKUP(LOWER($H135),UnitsTable,2,0),""))</f>
        <v/>
      </c>
      <c r="O135">
        <f>IF($B135="","",IF($D135=$H135,$B135,IF(AND($K135&lt;&gt;"",$L135&lt;&gt;"",$M135=$N135),$B135*$K135/$L135,$B135)))</f>
        <v/>
      </c>
      <c r="P135">
        <f>IF(OR($B135="",$G135=""),0,$O135*$G135)</f>
        <v/>
      </c>
    </row>
    <row r="136">
      <c r="I136">
        <f>IF($A136="","",COUNTIF($A$2:$A136,$A136))</f>
        <v/>
      </c>
      <c r="J136">
        <f>IF($A136="","",$A136&amp;"|"&amp;$I136)</f>
        <v/>
      </c>
      <c r="K136">
        <f>IF($D136="","",IFERROR(VLOOKUP(LOWER($D136),UnitsTable,3,0),""))</f>
        <v/>
      </c>
      <c r="L136">
        <f>IF($H136="","",IFERROR(VLOOKUP(LOWER($H136),UnitsTable,3,0),""))</f>
        <v/>
      </c>
      <c r="M136">
        <f>IF($D136="","",IFERROR(VLOOKUP(LOWER($D136),UnitsTable,2,0),""))</f>
        <v/>
      </c>
      <c r="N136">
        <f>IF($H136="","",IFERROR(VLOOKUP(LOWER($H136),UnitsTable,2,0),""))</f>
        <v/>
      </c>
      <c r="O136">
        <f>IF($B136="","",IF($D136=$H136,$B136,IF(AND($K136&lt;&gt;"",$L136&lt;&gt;"",$M136=$N136),$B136*$K136/$L136,$B136)))</f>
        <v/>
      </c>
      <c r="P136">
        <f>IF(OR($B136="",$G136=""),0,$O136*$G136)</f>
        <v/>
      </c>
    </row>
    <row r="137">
      <c r="I137">
        <f>IF($A137="","",COUNTIF($A$2:$A137,$A137))</f>
        <v/>
      </c>
      <c r="J137">
        <f>IF($A137="","",$A137&amp;"|"&amp;$I137)</f>
        <v/>
      </c>
      <c r="K137">
        <f>IF($D137="","",IFERROR(VLOOKUP(LOWER($D137),UnitsTable,3,0),""))</f>
        <v/>
      </c>
      <c r="L137">
        <f>IF($H137="","",IFERROR(VLOOKUP(LOWER($H137),UnitsTable,3,0),""))</f>
        <v/>
      </c>
      <c r="M137">
        <f>IF($D137="","",IFERROR(VLOOKUP(LOWER($D137),UnitsTable,2,0),""))</f>
        <v/>
      </c>
      <c r="N137">
        <f>IF($H137="","",IFERROR(VLOOKUP(LOWER($H137),UnitsTable,2,0),""))</f>
        <v/>
      </c>
      <c r="O137">
        <f>IF($B137="","",IF($D137=$H137,$B137,IF(AND($K137&lt;&gt;"",$L137&lt;&gt;"",$M137=$N137),$B137*$K137/$L137,$B137)))</f>
        <v/>
      </c>
      <c r="P137">
        <f>IF(OR($B137="",$G137=""),0,$O137*$G137)</f>
        <v/>
      </c>
    </row>
    <row r="138">
      <c r="I138">
        <f>IF($A138="","",COUNTIF($A$2:$A138,$A138))</f>
        <v/>
      </c>
      <c r="J138">
        <f>IF($A138="","",$A138&amp;"|"&amp;$I138)</f>
        <v/>
      </c>
      <c r="K138">
        <f>IF($D138="","",IFERROR(VLOOKUP(LOWER($D138),UnitsTable,3,0),""))</f>
        <v/>
      </c>
      <c r="L138">
        <f>IF($H138="","",IFERROR(VLOOKUP(LOWER($H138),UnitsTable,3,0),""))</f>
        <v/>
      </c>
      <c r="M138">
        <f>IF($D138="","",IFERROR(VLOOKUP(LOWER($D138),UnitsTable,2,0),""))</f>
        <v/>
      </c>
      <c r="N138">
        <f>IF($H138="","",IFERROR(VLOOKUP(LOWER($H138),UnitsTable,2,0),""))</f>
        <v/>
      </c>
      <c r="O138">
        <f>IF($B138="","",IF($D138=$H138,$B138,IF(AND($K138&lt;&gt;"",$L138&lt;&gt;"",$M138=$N138),$B138*$K138/$L138,$B138)))</f>
        <v/>
      </c>
      <c r="P138">
        <f>IF(OR($B138="",$G138=""),0,$O138*$G138)</f>
        <v/>
      </c>
    </row>
    <row r="139">
      <c r="I139">
        <f>IF($A139="","",COUNTIF($A$2:$A139,$A139))</f>
        <v/>
      </c>
      <c r="J139">
        <f>IF($A139="","",$A139&amp;"|"&amp;$I139)</f>
        <v/>
      </c>
      <c r="K139">
        <f>IF($D139="","",IFERROR(VLOOKUP(LOWER($D139),UnitsTable,3,0),""))</f>
        <v/>
      </c>
      <c r="L139">
        <f>IF($H139="","",IFERROR(VLOOKUP(LOWER($H139),UnitsTable,3,0),""))</f>
        <v/>
      </c>
      <c r="M139">
        <f>IF($D139="","",IFERROR(VLOOKUP(LOWER($D139),UnitsTable,2,0),""))</f>
        <v/>
      </c>
      <c r="N139">
        <f>IF($H139="","",IFERROR(VLOOKUP(LOWER($H139),UnitsTable,2,0),""))</f>
        <v/>
      </c>
      <c r="O139">
        <f>IF($B139="","",IF($D139=$H139,$B139,IF(AND($K139&lt;&gt;"",$L139&lt;&gt;"",$M139=$N139),$B139*$K139/$L139,$B139)))</f>
        <v/>
      </c>
      <c r="P139">
        <f>IF(OR($B139="",$G139=""),0,$O139*$G139)</f>
        <v/>
      </c>
    </row>
    <row r="140">
      <c r="I140">
        <f>IF($A140="","",COUNTIF($A$2:$A140,$A140))</f>
        <v/>
      </c>
      <c r="J140">
        <f>IF($A140="","",$A140&amp;"|"&amp;$I140)</f>
        <v/>
      </c>
      <c r="K140">
        <f>IF($D140="","",IFERROR(VLOOKUP(LOWER($D140),UnitsTable,3,0),""))</f>
        <v/>
      </c>
      <c r="L140">
        <f>IF($H140="","",IFERROR(VLOOKUP(LOWER($H140),UnitsTable,3,0),""))</f>
        <v/>
      </c>
      <c r="M140">
        <f>IF($D140="","",IFERROR(VLOOKUP(LOWER($D140),UnitsTable,2,0),""))</f>
        <v/>
      </c>
      <c r="N140">
        <f>IF($H140="","",IFERROR(VLOOKUP(LOWER($H140),UnitsTable,2,0),""))</f>
        <v/>
      </c>
      <c r="O140">
        <f>IF($B140="","",IF($D140=$H140,$B140,IF(AND($K140&lt;&gt;"",$L140&lt;&gt;"",$M140=$N140),$B140*$K140/$L140,$B140)))</f>
        <v/>
      </c>
      <c r="P140">
        <f>IF(OR($B140="",$G140=""),0,$O140*$G140)</f>
        <v/>
      </c>
    </row>
    <row r="141">
      <c r="I141">
        <f>IF($A141="","",COUNTIF($A$2:$A141,$A141))</f>
        <v/>
      </c>
      <c r="J141">
        <f>IF($A141="","",$A141&amp;"|"&amp;$I141)</f>
        <v/>
      </c>
      <c r="K141">
        <f>IF($D141="","",IFERROR(VLOOKUP(LOWER($D141),UnitsTable,3,0),""))</f>
        <v/>
      </c>
      <c r="L141">
        <f>IF($H141="","",IFERROR(VLOOKUP(LOWER($H141),UnitsTable,3,0),""))</f>
        <v/>
      </c>
      <c r="M141">
        <f>IF($D141="","",IFERROR(VLOOKUP(LOWER($D141),UnitsTable,2,0),""))</f>
        <v/>
      </c>
      <c r="N141">
        <f>IF($H141="","",IFERROR(VLOOKUP(LOWER($H141),UnitsTable,2,0),""))</f>
        <v/>
      </c>
      <c r="O141">
        <f>IF($B141="","",IF($D141=$H141,$B141,IF(AND($K141&lt;&gt;"",$L141&lt;&gt;"",$M141=$N141),$B141*$K141/$L141,$B141)))</f>
        <v/>
      </c>
      <c r="P141">
        <f>IF(OR($B141="",$G141=""),0,$O141*$G141)</f>
        <v/>
      </c>
    </row>
    <row r="142">
      <c r="I142">
        <f>IF($A142="","",COUNTIF($A$2:$A142,$A142))</f>
        <v/>
      </c>
      <c r="J142">
        <f>IF($A142="","",$A142&amp;"|"&amp;$I142)</f>
        <v/>
      </c>
      <c r="K142">
        <f>IF($D142="","",IFERROR(VLOOKUP(LOWER($D142),UnitsTable,3,0),""))</f>
        <v/>
      </c>
      <c r="L142">
        <f>IF($H142="","",IFERROR(VLOOKUP(LOWER($H142),UnitsTable,3,0),""))</f>
        <v/>
      </c>
      <c r="M142">
        <f>IF($D142="","",IFERROR(VLOOKUP(LOWER($D142),UnitsTable,2,0),""))</f>
        <v/>
      </c>
      <c r="N142">
        <f>IF($H142="","",IFERROR(VLOOKUP(LOWER($H142),UnitsTable,2,0),""))</f>
        <v/>
      </c>
      <c r="O142">
        <f>IF($B142="","",IF($D142=$H142,$B142,IF(AND($K142&lt;&gt;"",$L142&lt;&gt;"",$M142=$N142),$B142*$K142/$L142,$B142)))</f>
        <v/>
      </c>
      <c r="P142">
        <f>IF(OR($B142="",$G142=""),0,$O142*$G142)</f>
        <v/>
      </c>
    </row>
    <row r="143">
      <c r="I143">
        <f>IF($A143="","",COUNTIF($A$2:$A143,$A143))</f>
        <v/>
      </c>
      <c r="J143">
        <f>IF($A143="","",$A143&amp;"|"&amp;$I143)</f>
        <v/>
      </c>
      <c r="K143">
        <f>IF($D143="","",IFERROR(VLOOKUP(LOWER($D143),UnitsTable,3,0),""))</f>
        <v/>
      </c>
      <c r="L143">
        <f>IF($H143="","",IFERROR(VLOOKUP(LOWER($H143),UnitsTable,3,0),""))</f>
        <v/>
      </c>
      <c r="M143">
        <f>IF($D143="","",IFERROR(VLOOKUP(LOWER($D143),UnitsTable,2,0),""))</f>
        <v/>
      </c>
      <c r="N143">
        <f>IF($H143="","",IFERROR(VLOOKUP(LOWER($H143),UnitsTable,2,0),""))</f>
        <v/>
      </c>
      <c r="O143">
        <f>IF($B143="","",IF($D143=$H143,$B143,IF(AND($K143&lt;&gt;"",$L143&lt;&gt;"",$M143=$N143),$B143*$K143/$L143,$B143)))</f>
        <v/>
      </c>
      <c r="P143">
        <f>IF(OR($B143="",$G143=""),0,$O143*$G143)</f>
        <v/>
      </c>
    </row>
    <row r="144">
      <c r="I144">
        <f>IF($A144="","",COUNTIF($A$2:$A144,$A144))</f>
        <v/>
      </c>
      <c r="J144">
        <f>IF($A144="","",$A144&amp;"|"&amp;$I144)</f>
        <v/>
      </c>
      <c r="K144">
        <f>IF($D144="","",IFERROR(VLOOKUP(LOWER($D144),UnitsTable,3,0),""))</f>
        <v/>
      </c>
      <c r="L144">
        <f>IF($H144="","",IFERROR(VLOOKUP(LOWER($H144),UnitsTable,3,0),""))</f>
        <v/>
      </c>
      <c r="M144">
        <f>IF($D144="","",IFERROR(VLOOKUP(LOWER($D144),UnitsTable,2,0),""))</f>
        <v/>
      </c>
      <c r="N144">
        <f>IF($H144="","",IFERROR(VLOOKUP(LOWER($H144),UnitsTable,2,0),""))</f>
        <v/>
      </c>
      <c r="O144">
        <f>IF($B144="","",IF($D144=$H144,$B144,IF(AND($K144&lt;&gt;"",$L144&lt;&gt;"",$M144=$N144),$B144*$K144/$L144,$B144)))</f>
        <v/>
      </c>
      <c r="P144">
        <f>IF(OR($B144="",$G144=""),0,$O144*$G144)</f>
        <v/>
      </c>
    </row>
    <row r="145">
      <c r="I145">
        <f>IF($A145="","",COUNTIF($A$2:$A145,$A145))</f>
        <v/>
      </c>
      <c r="J145">
        <f>IF($A145="","",$A145&amp;"|"&amp;$I145)</f>
        <v/>
      </c>
      <c r="K145">
        <f>IF($D145="","",IFERROR(VLOOKUP(LOWER($D145),UnitsTable,3,0),""))</f>
        <v/>
      </c>
      <c r="L145">
        <f>IF($H145="","",IFERROR(VLOOKUP(LOWER($H145),UnitsTable,3,0),""))</f>
        <v/>
      </c>
      <c r="M145">
        <f>IF($D145="","",IFERROR(VLOOKUP(LOWER($D145),UnitsTable,2,0),""))</f>
        <v/>
      </c>
      <c r="N145">
        <f>IF($H145="","",IFERROR(VLOOKUP(LOWER($H145),UnitsTable,2,0),""))</f>
        <v/>
      </c>
      <c r="O145">
        <f>IF($B145="","",IF($D145=$H145,$B145,IF(AND($K145&lt;&gt;"",$L145&lt;&gt;"",$M145=$N145),$B145*$K145/$L145,$B145)))</f>
        <v/>
      </c>
      <c r="P145">
        <f>IF(OR($B145="",$G145=""),0,$O145*$G145)</f>
        <v/>
      </c>
    </row>
    <row r="146">
      <c r="I146">
        <f>IF($A146="","",COUNTIF($A$2:$A146,$A146))</f>
        <v/>
      </c>
      <c r="J146">
        <f>IF($A146="","",$A146&amp;"|"&amp;$I146)</f>
        <v/>
      </c>
      <c r="K146">
        <f>IF($D146="","",IFERROR(VLOOKUP(LOWER($D146),UnitsTable,3,0),""))</f>
        <v/>
      </c>
      <c r="L146">
        <f>IF($H146="","",IFERROR(VLOOKUP(LOWER($H146),UnitsTable,3,0),""))</f>
        <v/>
      </c>
      <c r="M146">
        <f>IF($D146="","",IFERROR(VLOOKUP(LOWER($D146),UnitsTable,2,0),""))</f>
        <v/>
      </c>
      <c r="N146">
        <f>IF($H146="","",IFERROR(VLOOKUP(LOWER($H146),UnitsTable,2,0),""))</f>
        <v/>
      </c>
      <c r="O146">
        <f>IF($B146="","",IF($D146=$H146,$B146,IF(AND($K146&lt;&gt;"",$L146&lt;&gt;"",$M146=$N146),$B146*$K146/$L146,$B146)))</f>
        <v/>
      </c>
      <c r="P146">
        <f>IF(OR($B146="",$G146=""),0,$O146*$G146)</f>
        <v/>
      </c>
    </row>
    <row r="147">
      <c r="I147">
        <f>IF($A147="","",COUNTIF($A$2:$A147,$A147))</f>
        <v/>
      </c>
      <c r="J147">
        <f>IF($A147="","",$A147&amp;"|"&amp;$I147)</f>
        <v/>
      </c>
      <c r="K147">
        <f>IF($D147="","",IFERROR(VLOOKUP(LOWER($D147),UnitsTable,3,0),""))</f>
        <v/>
      </c>
      <c r="L147">
        <f>IF($H147="","",IFERROR(VLOOKUP(LOWER($H147),UnitsTable,3,0),""))</f>
        <v/>
      </c>
      <c r="M147">
        <f>IF($D147="","",IFERROR(VLOOKUP(LOWER($D147),UnitsTable,2,0),""))</f>
        <v/>
      </c>
      <c r="N147">
        <f>IF($H147="","",IFERROR(VLOOKUP(LOWER($H147),UnitsTable,2,0),""))</f>
        <v/>
      </c>
      <c r="O147">
        <f>IF($B147="","",IF($D147=$H147,$B147,IF(AND($K147&lt;&gt;"",$L147&lt;&gt;"",$M147=$N147),$B147*$K147/$L147,$B147)))</f>
        <v/>
      </c>
      <c r="P147">
        <f>IF(OR($B147="",$G147=""),0,$O147*$G147)</f>
        <v/>
      </c>
    </row>
    <row r="148">
      <c r="I148">
        <f>IF($A148="","",COUNTIF($A$2:$A148,$A148))</f>
        <v/>
      </c>
      <c r="J148">
        <f>IF($A148="","",$A148&amp;"|"&amp;$I148)</f>
        <v/>
      </c>
      <c r="K148">
        <f>IF($D148="","",IFERROR(VLOOKUP(LOWER($D148),UnitsTable,3,0),""))</f>
        <v/>
      </c>
      <c r="L148">
        <f>IF($H148="","",IFERROR(VLOOKUP(LOWER($H148),UnitsTable,3,0),""))</f>
        <v/>
      </c>
      <c r="M148">
        <f>IF($D148="","",IFERROR(VLOOKUP(LOWER($D148),UnitsTable,2,0),""))</f>
        <v/>
      </c>
      <c r="N148">
        <f>IF($H148="","",IFERROR(VLOOKUP(LOWER($H148),UnitsTable,2,0),""))</f>
        <v/>
      </c>
      <c r="O148">
        <f>IF($B148="","",IF($D148=$H148,$B148,IF(AND($K148&lt;&gt;"",$L148&lt;&gt;"",$M148=$N148),$B148*$K148/$L148,$B148)))</f>
        <v/>
      </c>
      <c r="P148">
        <f>IF(OR($B148="",$G148=""),0,$O148*$G148)</f>
        <v/>
      </c>
    </row>
    <row r="149">
      <c r="I149">
        <f>IF($A149="","",COUNTIF($A$2:$A149,$A149))</f>
        <v/>
      </c>
      <c r="J149">
        <f>IF($A149="","",$A149&amp;"|"&amp;$I149)</f>
        <v/>
      </c>
      <c r="K149">
        <f>IF($D149="","",IFERROR(VLOOKUP(LOWER($D149),UnitsTable,3,0),""))</f>
        <v/>
      </c>
      <c r="L149">
        <f>IF($H149="","",IFERROR(VLOOKUP(LOWER($H149),UnitsTable,3,0),""))</f>
        <v/>
      </c>
      <c r="M149">
        <f>IF($D149="","",IFERROR(VLOOKUP(LOWER($D149),UnitsTable,2,0),""))</f>
        <v/>
      </c>
      <c r="N149">
        <f>IF($H149="","",IFERROR(VLOOKUP(LOWER($H149),UnitsTable,2,0),""))</f>
        <v/>
      </c>
      <c r="O149">
        <f>IF($B149="","",IF($D149=$H149,$B149,IF(AND($K149&lt;&gt;"",$L149&lt;&gt;"",$M149=$N149),$B149*$K149/$L149,$B149)))</f>
        <v/>
      </c>
      <c r="P149">
        <f>IF(OR($B149="",$G149=""),0,$O149*$G149)</f>
        <v/>
      </c>
    </row>
    <row r="150">
      <c r="I150">
        <f>IF($A150="","",COUNTIF($A$2:$A150,$A150))</f>
        <v/>
      </c>
      <c r="J150">
        <f>IF($A150="","",$A150&amp;"|"&amp;$I150)</f>
        <v/>
      </c>
      <c r="K150">
        <f>IF($D150="","",IFERROR(VLOOKUP(LOWER($D150),UnitsTable,3,0),""))</f>
        <v/>
      </c>
      <c r="L150">
        <f>IF($H150="","",IFERROR(VLOOKUP(LOWER($H150),UnitsTable,3,0),""))</f>
        <v/>
      </c>
      <c r="M150">
        <f>IF($D150="","",IFERROR(VLOOKUP(LOWER($D150),UnitsTable,2,0),""))</f>
        <v/>
      </c>
      <c r="N150">
        <f>IF($H150="","",IFERROR(VLOOKUP(LOWER($H150),UnitsTable,2,0),""))</f>
        <v/>
      </c>
      <c r="O150">
        <f>IF($B150="","",IF($D150=$H150,$B150,IF(AND($K150&lt;&gt;"",$L150&lt;&gt;"",$M150=$N150),$B150*$K150/$L150,$B150)))</f>
        <v/>
      </c>
      <c r="P150">
        <f>IF(OR($B150="",$G150=""),0,$O150*$G150)</f>
        <v/>
      </c>
    </row>
    <row r="151">
      <c r="I151">
        <f>IF($A151="","",COUNTIF($A$2:$A151,$A151))</f>
        <v/>
      </c>
      <c r="J151">
        <f>IF($A151="","",$A151&amp;"|"&amp;$I151)</f>
        <v/>
      </c>
      <c r="K151">
        <f>IF($D151="","",IFERROR(VLOOKUP(LOWER($D151),UnitsTable,3,0),""))</f>
        <v/>
      </c>
      <c r="L151">
        <f>IF($H151="","",IFERROR(VLOOKUP(LOWER($H151),UnitsTable,3,0),""))</f>
        <v/>
      </c>
      <c r="M151">
        <f>IF($D151="","",IFERROR(VLOOKUP(LOWER($D151),UnitsTable,2,0),""))</f>
        <v/>
      </c>
      <c r="N151">
        <f>IF($H151="","",IFERROR(VLOOKUP(LOWER($H151),UnitsTable,2,0),""))</f>
        <v/>
      </c>
      <c r="O151">
        <f>IF($B151="","",IF($D151=$H151,$B151,IF(AND($K151&lt;&gt;"",$L151&lt;&gt;"",$M151=$N151),$B151*$K151/$L151,$B151)))</f>
        <v/>
      </c>
      <c r="P151">
        <f>IF(OR($B151="",$G151=""),0,$O151*$G151)</f>
        <v/>
      </c>
    </row>
    <row r="152">
      <c r="I152">
        <f>IF($A152="","",COUNTIF($A$2:$A152,$A152))</f>
        <v/>
      </c>
      <c r="J152">
        <f>IF($A152="","",$A152&amp;"|"&amp;$I152)</f>
        <v/>
      </c>
      <c r="K152">
        <f>IF($D152="","",IFERROR(VLOOKUP(LOWER($D152),UnitsTable,3,0),""))</f>
        <v/>
      </c>
      <c r="L152">
        <f>IF($H152="","",IFERROR(VLOOKUP(LOWER($H152),UnitsTable,3,0),""))</f>
        <v/>
      </c>
      <c r="M152">
        <f>IF($D152="","",IFERROR(VLOOKUP(LOWER($D152),UnitsTable,2,0),""))</f>
        <v/>
      </c>
      <c r="N152">
        <f>IF($H152="","",IFERROR(VLOOKUP(LOWER($H152),UnitsTable,2,0),""))</f>
        <v/>
      </c>
      <c r="O152">
        <f>IF($B152="","",IF($D152=$H152,$B152,IF(AND($K152&lt;&gt;"",$L152&lt;&gt;"",$M152=$N152),$B152*$K152/$L152,$B152)))</f>
        <v/>
      </c>
      <c r="P152">
        <f>IF(OR($B152="",$G152=""),0,$O152*$G152)</f>
        <v/>
      </c>
    </row>
    <row r="153">
      <c r="I153">
        <f>IF($A153="","",COUNTIF($A$2:$A153,$A153))</f>
        <v/>
      </c>
      <c r="J153">
        <f>IF($A153="","",$A153&amp;"|"&amp;$I153)</f>
        <v/>
      </c>
      <c r="K153">
        <f>IF($D153="","",IFERROR(VLOOKUP(LOWER($D153),UnitsTable,3,0),""))</f>
        <v/>
      </c>
      <c r="L153">
        <f>IF($H153="","",IFERROR(VLOOKUP(LOWER($H153),UnitsTable,3,0),""))</f>
        <v/>
      </c>
      <c r="M153">
        <f>IF($D153="","",IFERROR(VLOOKUP(LOWER($D153),UnitsTable,2,0),""))</f>
        <v/>
      </c>
      <c r="N153">
        <f>IF($H153="","",IFERROR(VLOOKUP(LOWER($H153),UnitsTable,2,0),""))</f>
        <v/>
      </c>
      <c r="O153">
        <f>IF($B153="","",IF($D153=$H153,$B153,IF(AND($K153&lt;&gt;"",$L153&lt;&gt;"",$M153=$N153),$B153*$K153/$L153,$B153)))</f>
        <v/>
      </c>
      <c r="P153">
        <f>IF(OR($B153="",$G153=""),0,$O153*$G153)</f>
        <v/>
      </c>
    </row>
    <row r="154">
      <c r="I154">
        <f>IF($A154="","",COUNTIF($A$2:$A154,$A154))</f>
        <v/>
      </c>
      <c r="J154">
        <f>IF($A154="","",$A154&amp;"|"&amp;$I154)</f>
        <v/>
      </c>
      <c r="K154">
        <f>IF($D154="","",IFERROR(VLOOKUP(LOWER($D154),UnitsTable,3,0),""))</f>
        <v/>
      </c>
      <c r="L154">
        <f>IF($H154="","",IFERROR(VLOOKUP(LOWER($H154),UnitsTable,3,0),""))</f>
        <v/>
      </c>
      <c r="M154">
        <f>IF($D154="","",IFERROR(VLOOKUP(LOWER($D154),UnitsTable,2,0),""))</f>
        <v/>
      </c>
      <c r="N154">
        <f>IF($H154="","",IFERROR(VLOOKUP(LOWER($H154),UnitsTable,2,0),""))</f>
        <v/>
      </c>
      <c r="O154">
        <f>IF($B154="","",IF($D154=$H154,$B154,IF(AND($K154&lt;&gt;"",$L154&lt;&gt;"",$M154=$N154),$B154*$K154/$L154,$B154)))</f>
        <v/>
      </c>
      <c r="P154">
        <f>IF(OR($B154="",$G154=""),0,$O154*$G154)</f>
        <v/>
      </c>
    </row>
    <row r="155">
      <c r="I155">
        <f>IF($A155="","",COUNTIF($A$2:$A155,$A155))</f>
        <v/>
      </c>
      <c r="J155">
        <f>IF($A155="","",$A155&amp;"|"&amp;$I155)</f>
        <v/>
      </c>
      <c r="K155">
        <f>IF($D155="","",IFERROR(VLOOKUP(LOWER($D155),UnitsTable,3,0),""))</f>
        <v/>
      </c>
      <c r="L155">
        <f>IF($H155="","",IFERROR(VLOOKUP(LOWER($H155),UnitsTable,3,0),""))</f>
        <v/>
      </c>
      <c r="M155">
        <f>IF($D155="","",IFERROR(VLOOKUP(LOWER($D155),UnitsTable,2,0),""))</f>
        <v/>
      </c>
      <c r="N155">
        <f>IF($H155="","",IFERROR(VLOOKUP(LOWER($H155),UnitsTable,2,0),""))</f>
        <v/>
      </c>
      <c r="O155">
        <f>IF($B155="","",IF($D155=$H155,$B155,IF(AND($K155&lt;&gt;"",$L155&lt;&gt;"",$M155=$N155),$B155*$K155/$L155,$B155)))</f>
        <v/>
      </c>
      <c r="P155">
        <f>IF(OR($B155="",$G155=""),0,$O155*$G155)</f>
        <v/>
      </c>
    </row>
    <row r="156">
      <c r="I156">
        <f>IF($A156="","",COUNTIF($A$2:$A156,$A156))</f>
        <v/>
      </c>
      <c r="J156">
        <f>IF($A156="","",$A156&amp;"|"&amp;$I156)</f>
        <v/>
      </c>
      <c r="K156">
        <f>IF($D156="","",IFERROR(VLOOKUP(LOWER($D156),UnitsTable,3,0),""))</f>
        <v/>
      </c>
      <c r="L156">
        <f>IF($H156="","",IFERROR(VLOOKUP(LOWER($H156),UnitsTable,3,0),""))</f>
        <v/>
      </c>
      <c r="M156">
        <f>IF($D156="","",IFERROR(VLOOKUP(LOWER($D156),UnitsTable,2,0),""))</f>
        <v/>
      </c>
      <c r="N156">
        <f>IF($H156="","",IFERROR(VLOOKUP(LOWER($H156),UnitsTable,2,0),""))</f>
        <v/>
      </c>
      <c r="O156">
        <f>IF($B156="","",IF($D156=$H156,$B156,IF(AND($K156&lt;&gt;"",$L156&lt;&gt;"",$M156=$N156),$B156*$K156/$L156,$B156)))</f>
        <v/>
      </c>
      <c r="P156">
        <f>IF(OR($B156="",$G156=""),0,$O156*$G156)</f>
        <v/>
      </c>
    </row>
    <row r="157">
      <c r="I157">
        <f>IF($A157="","",COUNTIF($A$2:$A157,$A157))</f>
        <v/>
      </c>
      <c r="J157">
        <f>IF($A157="","",$A157&amp;"|"&amp;$I157)</f>
        <v/>
      </c>
      <c r="K157">
        <f>IF($D157="","",IFERROR(VLOOKUP(LOWER($D157),UnitsTable,3,0),""))</f>
        <v/>
      </c>
      <c r="L157">
        <f>IF($H157="","",IFERROR(VLOOKUP(LOWER($H157),UnitsTable,3,0),""))</f>
        <v/>
      </c>
      <c r="M157">
        <f>IF($D157="","",IFERROR(VLOOKUP(LOWER($D157),UnitsTable,2,0),""))</f>
        <v/>
      </c>
      <c r="N157">
        <f>IF($H157="","",IFERROR(VLOOKUP(LOWER($H157),UnitsTable,2,0),""))</f>
        <v/>
      </c>
      <c r="O157">
        <f>IF($B157="","",IF($D157=$H157,$B157,IF(AND($K157&lt;&gt;"",$L157&lt;&gt;"",$M157=$N157),$B157*$K157/$L157,$B157)))</f>
        <v/>
      </c>
      <c r="P157">
        <f>IF(OR($B157="",$G157=""),0,$O157*$G157)</f>
        <v/>
      </c>
    </row>
    <row r="158">
      <c r="I158">
        <f>IF($A158="","",COUNTIF($A$2:$A158,$A158))</f>
        <v/>
      </c>
      <c r="J158">
        <f>IF($A158="","",$A158&amp;"|"&amp;$I158)</f>
        <v/>
      </c>
      <c r="K158">
        <f>IF($D158="","",IFERROR(VLOOKUP(LOWER($D158),UnitsTable,3,0),""))</f>
        <v/>
      </c>
      <c r="L158">
        <f>IF($H158="","",IFERROR(VLOOKUP(LOWER($H158),UnitsTable,3,0),""))</f>
        <v/>
      </c>
      <c r="M158">
        <f>IF($D158="","",IFERROR(VLOOKUP(LOWER($D158),UnitsTable,2,0),""))</f>
        <v/>
      </c>
      <c r="N158">
        <f>IF($H158="","",IFERROR(VLOOKUP(LOWER($H158),UnitsTable,2,0),""))</f>
        <v/>
      </c>
      <c r="O158">
        <f>IF($B158="","",IF($D158=$H158,$B158,IF(AND($K158&lt;&gt;"",$L158&lt;&gt;"",$M158=$N158),$B158*$K158/$L158,$B158)))</f>
        <v/>
      </c>
      <c r="P158">
        <f>IF(OR($B158="",$G158=""),0,$O158*$G158)</f>
        <v/>
      </c>
    </row>
    <row r="159">
      <c r="I159">
        <f>IF($A159="","",COUNTIF($A$2:$A159,$A159))</f>
        <v/>
      </c>
      <c r="J159">
        <f>IF($A159="","",$A159&amp;"|"&amp;$I159)</f>
        <v/>
      </c>
      <c r="K159">
        <f>IF($D159="","",IFERROR(VLOOKUP(LOWER($D159),UnitsTable,3,0),""))</f>
        <v/>
      </c>
      <c r="L159">
        <f>IF($H159="","",IFERROR(VLOOKUP(LOWER($H159),UnitsTable,3,0),""))</f>
        <v/>
      </c>
      <c r="M159">
        <f>IF($D159="","",IFERROR(VLOOKUP(LOWER($D159),UnitsTable,2,0),""))</f>
        <v/>
      </c>
      <c r="N159">
        <f>IF($H159="","",IFERROR(VLOOKUP(LOWER($H159),UnitsTable,2,0),""))</f>
        <v/>
      </c>
      <c r="O159">
        <f>IF($B159="","",IF($D159=$H159,$B159,IF(AND($K159&lt;&gt;"",$L159&lt;&gt;"",$M159=$N159),$B159*$K159/$L159,$B159)))</f>
        <v/>
      </c>
      <c r="P159">
        <f>IF(OR($B159="",$G159=""),0,$O159*$G159)</f>
        <v/>
      </c>
    </row>
    <row r="160">
      <c r="I160">
        <f>IF($A160="","",COUNTIF($A$2:$A160,$A160))</f>
        <v/>
      </c>
      <c r="J160">
        <f>IF($A160="","",$A160&amp;"|"&amp;$I160)</f>
        <v/>
      </c>
      <c r="K160">
        <f>IF($D160="","",IFERROR(VLOOKUP(LOWER($D160),UnitsTable,3,0),""))</f>
        <v/>
      </c>
      <c r="L160">
        <f>IF($H160="","",IFERROR(VLOOKUP(LOWER($H160),UnitsTable,3,0),""))</f>
        <v/>
      </c>
      <c r="M160">
        <f>IF($D160="","",IFERROR(VLOOKUP(LOWER($D160),UnitsTable,2,0),""))</f>
        <v/>
      </c>
      <c r="N160">
        <f>IF($H160="","",IFERROR(VLOOKUP(LOWER($H160),UnitsTable,2,0),""))</f>
        <v/>
      </c>
      <c r="O160">
        <f>IF($B160="","",IF($D160=$H160,$B160,IF(AND($K160&lt;&gt;"",$L160&lt;&gt;"",$M160=$N160),$B160*$K160/$L160,$B160)))</f>
        <v/>
      </c>
      <c r="P160">
        <f>IF(OR($B160="",$G160=""),0,$O160*$G160)</f>
        <v/>
      </c>
    </row>
    <row r="161">
      <c r="I161">
        <f>IF($A161="","",COUNTIF($A$2:$A161,$A161))</f>
        <v/>
      </c>
      <c r="J161">
        <f>IF($A161="","",$A161&amp;"|"&amp;$I161)</f>
        <v/>
      </c>
      <c r="K161">
        <f>IF($D161="","",IFERROR(VLOOKUP(LOWER($D161),UnitsTable,3,0),""))</f>
        <v/>
      </c>
      <c r="L161">
        <f>IF($H161="","",IFERROR(VLOOKUP(LOWER($H161),UnitsTable,3,0),""))</f>
        <v/>
      </c>
      <c r="M161">
        <f>IF($D161="","",IFERROR(VLOOKUP(LOWER($D161),UnitsTable,2,0),""))</f>
        <v/>
      </c>
      <c r="N161">
        <f>IF($H161="","",IFERROR(VLOOKUP(LOWER($H161),UnitsTable,2,0),""))</f>
        <v/>
      </c>
      <c r="O161">
        <f>IF($B161="","",IF($D161=$H161,$B161,IF(AND($K161&lt;&gt;"",$L161&lt;&gt;"",$M161=$N161),$B161*$K161/$L161,$B161)))</f>
        <v/>
      </c>
      <c r="P161">
        <f>IF(OR($B161="",$G161=""),0,$O161*$G161)</f>
        <v/>
      </c>
    </row>
    <row r="162">
      <c r="I162">
        <f>IF($A162="","",COUNTIF($A$2:$A162,$A162))</f>
        <v/>
      </c>
      <c r="J162">
        <f>IF($A162="","",$A162&amp;"|"&amp;$I162)</f>
        <v/>
      </c>
      <c r="K162">
        <f>IF($D162="","",IFERROR(VLOOKUP(LOWER($D162),UnitsTable,3,0),""))</f>
        <v/>
      </c>
      <c r="L162">
        <f>IF($H162="","",IFERROR(VLOOKUP(LOWER($H162),UnitsTable,3,0),""))</f>
        <v/>
      </c>
      <c r="M162">
        <f>IF($D162="","",IFERROR(VLOOKUP(LOWER($D162),UnitsTable,2,0),""))</f>
        <v/>
      </c>
      <c r="N162">
        <f>IF($H162="","",IFERROR(VLOOKUP(LOWER($H162),UnitsTable,2,0),""))</f>
        <v/>
      </c>
      <c r="O162">
        <f>IF($B162="","",IF($D162=$H162,$B162,IF(AND($K162&lt;&gt;"",$L162&lt;&gt;"",$M162=$N162),$B162*$K162/$L162,$B162)))</f>
        <v/>
      </c>
      <c r="P162">
        <f>IF(OR($B162="",$G162=""),0,$O162*$G162)</f>
        <v/>
      </c>
    </row>
    <row r="163">
      <c r="I163">
        <f>IF($A163="","",COUNTIF($A$2:$A163,$A163))</f>
        <v/>
      </c>
      <c r="J163">
        <f>IF($A163="","",$A163&amp;"|"&amp;$I163)</f>
        <v/>
      </c>
      <c r="K163">
        <f>IF($D163="","",IFERROR(VLOOKUP(LOWER($D163),UnitsTable,3,0),""))</f>
        <v/>
      </c>
      <c r="L163">
        <f>IF($H163="","",IFERROR(VLOOKUP(LOWER($H163),UnitsTable,3,0),""))</f>
        <v/>
      </c>
      <c r="M163">
        <f>IF($D163="","",IFERROR(VLOOKUP(LOWER($D163),UnitsTable,2,0),""))</f>
        <v/>
      </c>
      <c r="N163">
        <f>IF($H163="","",IFERROR(VLOOKUP(LOWER($H163),UnitsTable,2,0),""))</f>
        <v/>
      </c>
      <c r="O163">
        <f>IF($B163="","",IF($D163=$H163,$B163,IF(AND($K163&lt;&gt;"",$L163&lt;&gt;"",$M163=$N163),$B163*$K163/$L163,$B163)))</f>
        <v/>
      </c>
      <c r="P163">
        <f>IF(OR($B163="",$G163=""),0,$O163*$G163)</f>
        <v/>
      </c>
    </row>
    <row r="164">
      <c r="I164">
        <f>IF($A164="","",COUNTIF($A$2:$A164,$A164))</f>
        <v/>
      </c>
      <c r="J164">
        <f>IF($A164="","",$A164&amp;"|"&amp;$I164)</f>
        <v/>
      </c>
      <c r="K164">
        <f>IF($D164="","",IFERROR(VLOOKUP(LOWER($D164),UnitsTable,3,0),""))</f>
        <v/>
      </c>
      <c r="L164">
        <f>IF($H164="","",IFERROR(VLOOKUP(LOWER($H164),UnitsTable,3,0),""))</f>
        <v/>
      </c>
      <c r="M164">
        <f>IF($D164="","",IFERROR(VLOOKUP(LOWER($D164),UnitsTable,2,0),""))</f>
        <v/>
      </c>
      <c r="N164">
        <f>IF($H164="","",IFERROR(VLOOKUP(LOWER($H164),UnitsTable,2,0),""))</f>
        <v/>
      </c>
      <c r="O164">
        <f>IF($B164="","",IF($D164=$H164,$B164,IF(AND($K164&lt;&gt;"",$L164&lt;&gt;"",$M164=$N164),$B164*$K164/$L164,$B164)))</f>
        <v/>
      </c>
      <c r="P164">
        <f>IF(OR($B164="",$G164=""),0,$O164*$G164)</f>
        <v/>
      </c>
    </row>
    <row r="165">
      <c r="I165">
        <f>IF($A165="","",COUNTIF($A$2:$A165,$A165))</f>
        <v/>
      </c>
      <c r="J165">
        <f>IF($A165="","",$A165&amp;"|"&amp;$I165)</f>
        <v/>
      </c>
      <c r="K165">
        <f>IF($D165="","",IFERROR(VLOOKUP(LOWER($D165),UnitsTable,3,0),""))</f>
        <v/>
      </c>
      <c r="L165">
        <f>IF($H165="","",IFERROR(VLOOKUP(LOWER($H165),UnitsTable,3,0),""))</f>
        <v/>
      </c>
      <c r="M165">
        <f>IF($D165="","",IFERROR(VLOOKUP(LOWER($D165),UnitsTable,2,0),""))</f>
        <v/>
      </c>
      <c r="N165">
        <f>IF($H165="","",IFERROR(VLOOKUP(LOWER($H165),UnitsTable,2,0),""))</f>
        <v/>
      </c>
      <c r="O165">
        <f>IF($B165="","",IF($D165=$H165,$B165,IF(AND($K165&lt;&gt;"",$L165&lt;&gt;"",$M165=$N165),$B165*$K165/$L165,$B165)))</f>
        <v/>
      </c>
      <c r="P165">
        <f>IF(OR($B165="",$G165=""),0,$O165*$G165)</f>
        <v/>
      </c>
    </row>
    <row r="166">
      <c r="I166">
        <f>IF($A166="","",COUNTIF($A$2:$A166,$A166))</f>
        <v/>
      </c>
      <c r="J166">
        <f>IF($A166="","",$A166&amp;"|"&amp;$I166)</f>
        <v/>
      </c>
      <c r="K166">
        <f>IF($D166="","",IFERROR(VLOOKUP(LOWER($D166),UnitsTable,3,0),""))</f>
        <v/>
      </c>
      <c r="L166">
        <f>IF($H166="","",IFERROR(VLOOKUP(LOWER($H166),UnitsTable,3,0),""))</f>
        <v/>
      </c>
      <c r="M166">
        <f>IF($D166="","",IFERROR(VLOOKUP(LOWER($D166),UnitsTable,2,0),""))</f>
        <v/>
      </c>
      <c r="N166">
        <f>IF($H166="","",IFERROR(VLOOKUP(LOWER($H166),UnitsTable,2,0),""))</f>
        <v/>
      </c>
      <c r="O166">
        <f>IF($B166="","",IF($D166=$H166,$B166,IF(AND($K166&lt;&gt;"",$L166&lt;&gt;"",$M166=$N166),$B166*$K166/$L166,$B166)))</f>
        <v/>
      </c>
      <c r="P166">
        <f>IF(OR($B166="",$G166=""),0,$O166*$G166)</f>
        <v/>
      </c>
    </row>
    <row r="167">
      <c r="I167">
        <f>IF($A167="","",COUNTIF($A$2:$A167,$A167))</f>
        <v/>
      </c>
      <c r="J167">
        <f>IF($A167="","",$A167&amp;"|"&amp;$I167)</f>
        <v/>
      </c>
      <c r="K167">
        <f>IF($D167="","",IFERROR(VLOOKUP(LOWER($D167),UnitsTable,3,0),""))</f>
        <v/>
      </c>
      <c r="L167">
        <f>IF($H167="","",IFERROR(VLOOKUP(LOWER($H167),UnitsTable,3,0),""))</f>
        <v/>
      </c>
      <c r="M167">
        <f>IF($D167="","",IFERROR(VLOOKUP(LOWER($D167),UnitsTable,2,0),""))</f>
        <v/>
      </c>
      <c r="N167">
        <f>IF($H167="","",IFERROR(VLOOKUP(LOWER($H167),UnitsTable,2,0),""))</f>
        <v/>
      </c>
      <c r="O167">
        <f>IF($B167="","",IF($D167=$H167,$B167,IF(AND($K167&lt;&gt;"",$L167&lt;&gt;"",$M167=$N167),$B167*$K167/$L167,$B167)))</f>
        <v/>
      </c>
      <c r="P167">
        <f>IF(OR($B167="",$G167=""),0,$O167*$G167)</f>
        <v/>
      </c>
    </row>
    <row r="168">
      <c r="I168">
        <f>IF($A168="","",COUNTIF($A$2:$A168,$A168))</f>
        <v/>
      </c>
      <c r="J168">
        <f>IF($A168="","",$A168&amp;"|"&amp;$I168)</f>
        <v/>
      </c>
      <c r="K168">
        <f>IF($D168="","",IFERROR(VLOOKUP(LOWER($D168),UnitsTable,3,0),""))</f>
        <v/>
      </c>
      <c r="L168">
        <f>IF($H168="","",IFERROR(VLOOKUP(LOWER($H168),UnitsTable,3,0),""))</f>
        <v/>
      </c>
      <c r="M168">
        <f>IF($D168="","",IFERROR(VLOOKUP(LOWER($D168),UnitsTable,2,0),""))</f>
        <v/>
      </c>
      <c r="N168">
        <f>IF($H168="","",IFERROR(VLOOKUP(LOWER($H168),UnitsTable,2,0),""))</f>
        <v/>
      </c>
      <c r="O168">
        <f>IF($B168="","",IF($D168=$H168,$B168,IF(AND($K168&lt;&gt;"",$L168&lt;&gt;"",$M168=$N168),$B168*$K168/$L168,$B168)))</f>
        <v/>
      </c>
      <c r="P168">
        <f>IF(OR($B168="",$G168=""),0,$O168*$G168)</f>
        <v/>
      </c>
    </row>
    <row r="169">
      <c r="I169">
        <f>IF($A169="","",COUNTIF($A$2:$A169,$A169))</f>
        <v/>
      </c>
      <c r="J169">
        <f>IF($A169="","",$A169&amp;"|"&amp;$I169)</f>
        <v/>
      </c>
      <c r="K169">
        <f>IF($D169="","",IFERROR(VLOOKUP(LOWER($D169),UnitsTable,3,0),""))</f>
        <v/>
      </c>
      <c r="L169">
        <f>IF($H169="","",IFERROR(VLOOKUP(LOWER($H169),UnitsTable,3,0),""))</f>
        <v/>
      </c>
      <c r="M169">
        <f>IF($D169="","",IFERROR(VLOOKUP(LOWER($D169),UnitsTable,2,0),""))</f>
        <v/>
      </c>
      <c r="N169">
        <f>IF($H169="","",IFERROR(VLOOKUP(LOWER($H169),UnitsTable,2,0),""))</f>
        <v/>
      </c>
      <c r="O169">
        <f>IF($B169="","",IF($D169=$H169,$B169,IF(AND($K169&lt;&gt;"",$L169&lt;&gt;"",$M169=$N169),$B169*$K169/$L169,$B169)))</f>
        <v/>
      </c>
      <c r="P169">
        <f>IF(OR($B169="",$G169=""),0,$O169*$G169)</f>
        <v/>
      </c>
    </row>
    <row r="170">
      <c r="I170">
        <f>IF($A170="","",COUNTIF($A$2:$A170,$A170))</f>
        <v/>
      </c>
      <c r="J170">
        <f>IF($A170="","",$A170&amp;"|"&amp;$I170)</f>
        <v/>
      </c>
      <c r="K170">
        <f>IF($D170="","",IFERROR(VLOOKUP(LOWER($D170),UnitsTable,3,0),""))</f>
        <v/>
      </c>
      <c r="L170">
        <f>IF($H170="","",IFERROR(VLOOKUP(LOWER($H170),UnitsTable,3,0),""))</f>
        <v/>
      </c>
      <c r="M170">
        <f>IF($D170="","",IFERROR(VLOOKUP(LOWER($D170),UnitsTable,2,0),""))</f>
        <v/>
      </c>
      <c r="N170">
        <f>IF($H170="","",IFERROR(VLOOKUP(LOWER($H170),UnitsTable,2,0),""))</f>
        <v/>
      </c>
      <c r="O170">
        <f>IF($B170="","",IF($D170=$H170,$B170,IF(AND($K170&lt;&gt;"",$L170&lt;&gt;"",$M170=$N170),$B170*$K170/$L170,$B170)))</f>
        <v/>
      </c>
      <c r="P170">
        <f>IF(OR($B170="",$G170=""),0,$O170*$G170)</f>
        <v/>
      </c>
    </row>
    <row r="171">
      <c r="I171">
        <f>IF($A171="","",COUNTIF($A$2:$A171,$A171))</f>
        <v/>
      </c>
      <c r="J171">
        <f>IF($A171="","",$A171&amp;"|"&amp;$I171)</f>
        <v/>
      </c>
      <c r="K171">
        <f>IF($D171="","",IFERROR(VLOOKUP(LOWER($D171),UnitsTable,3,0),""))</f>
        <v/>
      </c>
      <c r="L171">
        <f>IF($H171="","",IFERROR(VLOOKUP(LOWER($H171),UnitsTable,3,0),""))</f>
        <v/>
      </c>
      <c r="M171">
        <f>IF($D171="","",IFERROR(VLOOKUP(LOWER($D171),UnitsTable,2,0),""))</f>
        <v/>
      </c>
      <c r="N171">
        <f>IF($H171="","",IFERROR(VLOOKUP(LOWER($H171),UnitsTable,2,0),""))</f>
        <v/>
      </c>
      <c r="O171">
        <f>IF($B171="","",IF($D171=$H171,$B171,IF(AND($K171&lt;&gt;"",$L171&lt;&gt;"",$M171=$N171),$B171*$K171/$L171,$B171)))</f>
        <v/>
      </c>
      <c r="P171">
        <f>IF(OR($B171="",$G171=""),0,$O171*$G171)</f>
        <v/>
      </c>
    </row>
    <row r="172">
      <c r="I172">
        <f>IF($A172="","",COUNTIF($A$2:$A172,$A172))</f>
        <v/>
      </c>
      <c r="J172">
        <f>IF($A172="","",$A172&amp;"|"&amp;$I172)</f>
        <v/>
      </c>
      <c r="K172">
        <f>IF($D172="","",IFERROR(VLOOKUP(LOWER($D172),UnitsTable,3,0),""))</f>
        <v/>
      </c>
      <c r="L172">
        <f>IF($H172="","",IFERROR(VLOOKUP(LOWER($H172),UnitsTable,3,0),""))</f>
        <v/>
      </c>
      <c r="M172">
        <f>IF($D172="","",IFERROR(VLOOKUP(LOWER($D172),UnitsTable,2,0),""))</f>
        <v/>
      </c>
      <c r="N172">
        <f>IF($H172="","",IFERROR(VLOOKUP(LOWER($H172),UnitsTable,2,0),""))</f>
        <v/>
      </c>
      <c r="O172">
        <f>IF($B172="","",IF($D172=$H172,$B172,IF(AND($K172&lt;&gt;"",$L172&lt;&gt;"",$M172=$N172),$B172*$K172/$L172,$B172)))</f>
        <v/>
      </c>
      <c r="P172">
        <f>IF(OR($B172="",$G172=""),0,$O172*$G172)</f>
        <v/>
      </c>
    </row>
    <row r="173">
      <c r="I173">
        <f>IF($A173="","",COUNTIF($A$2:$A173,$A173))</f>
        <v/>
      </c>
      <c r="J173">
        <f>IF($A173="","",$A173&amp;"|"&amp;$I173)</f>
        <v/>
      </c>
      <c r="K173">
        <f>IF($D173="","",IFERROR(VLOOKUP(LOWER($D173),UnitsTable,3,0),""))</f>
        <v/>
      </c>
      <c r="L173">
        <f>IF($H173="","",IFERROR(VLOOKUP(LOWER($H173),UnitsTable,3,0),""))</f>
        <v/>
      </c>
      <c r="M173">
        <f>IF($D173="","",IFERROR(VLOOKUP(LOWER($D173),UnitsTable,2,0),""))</f>
        <v/>
      </c>
      <c r="N173">
        <f>IF($H173="","",IFERROR(VLOOKUP(LOWER($H173),UnitsTable,2,0),""))</f>
        <v/>
      </c>
      <c r="O173">
        <f>IF($B173="","",IF($D173=$H173,$B173,IF(AND($K173&lt;&gt;"",$L173&lt;&gt;"",$M173=$N173),$B173*$K173/$L173,$B173)))</f>
        <v/>
      </c>
      <c r="P173">
        <f>IF(OR($B173="",$G173=""),0,$O173*$G173)</f>
        <v/>
      </c>
    </row>
    <row r="174">
      <c r="I174">
        <f>IF($A174="","",COUNTIF($A$2:$A174,$A174))</f>
        <v/>
      </c>
      <c r="J174">
        <f>IF($A174="","",$A174&amp;"|"&amp;$I174)</f>
        <v/>
      </c>
      <c r="K174">
        <f>IF($D174="","",IFERROR(VLOOKUP(LOWER($D174),UnitsTable,3,0),""))</f>
        <v/>
      </c>
      <c r="L174">
        <f>IF($H174="","",IFERROR(VLOOKUP(LOWER($H174),UnitsTable,3,0),""))</f>
        <v/>
      </c>
      <c r="M174">
        <f>IF($D174="","",IFERROR(VLOOKUP(LOWER($D174),UnitsTable,2,0),""))</f>
        <v/>
      </c>
      <c r="N174">
        <f>IF($H174="","",IFERROR(VLOOKUP(LOWER($H174),UnitsTable,2,0),""))</f>
        <v/>
      </c>
      <c r="O174">
        <f>IF($B174="","",IF($D174=$H174,$B174,IF(AND($K174&lt;&gt;"",$L174&lt;&gt;"",$M174=$N174),$B174*$K174/$L174,$B174)))</f>
        <v/>
      </c>
      <c r="P174">
        <f>IF(OR($B174="",$G174=""),0,$O174*$G174)</f>
        <v/>
      </c>
    </row>
    <row r="175">
      <c r="I175">
        <f>IF($A175="","",COUNTIF($A$2:$A175,$A175))</f>
        <v/>
      </c>
      <c r="J175">
        <f>IF($A175="","",$A175&amp;"|"&amp;$I175)</f>
        <v/>
      </c>
      <c r="K175">
        <f>IF($D175="","",IFERROR(VLOOKUP(LOWER($D175),UnitsTable,3,0),""))</f>
        <v/>
      </c>
      <c r="L175">
        <f>IF($H175="","",IFERROR(VLOOKUP(LOWER($H175),UnitsTable,3,0),""))</f>
        <v/>
      </c>
      <c r="M175">
        <f>IF($D175="","",IFERROR(VLOOKUP(LOWER($D175),UnitsTable,2,0),""))</f>
        <v/>
      </c>
      <c r="N175">
        <f>IF($H175="","",IFERROR(VLOOKUP(LOWER($H175),UnitsTable,2,0),""))</f>
        <v/>
      </c>
      <c r="O175">
        <f>IF($B175="","",IF($D175=$H175,$B175,IF(AND($K175&lt;&gt;"",$L175&lt;&gt;"",$M175=$N175),$B175*$K175/$L175,$B175)))</f>
        <v/>
      </c>
      <c r="P175">
        <f>IF(OR($B175="",$G175=""),0,$O175*$G175)</f>
        <v/>
      </c>
    </row>
    <row r="176">
      <c r="I176">
        <f>IF($A176="","",COUNTIF($A$2:$A176,$A176))</f>
        <v/>
      </c>
      <c r="J176">
        <f>IF($A176="","",$A176&amp;"|"&amp;$I176)</f>
        <v/>
      </c>
      <c r="K176">
        <f>IF($D176="","",IFERROR(VLOOKUP(LOWER($D176),UnitsTable,3,0),""))</f>
        <v/>
      </c>
      <c r="L176">
        <f>IF($H176="","",IFERROR(VLOOKUP(LOWER($H176),UnitsTable,3,0),""))</f>
        <v/>
      </c>
      <c r="M176">
        <f>IF($D176="","",IFERROR(VLOOKUP(LOWER($D176),UnitsTable,2,0),""))</f>
        <v/>
      </c>
      <c r="N176">
        <f>IF($H176="","",IFERROR(VLOOKUP(LOWER($H176),UnitsTable,2,0),""))</f>
        <v/>
      </c>
      <c r="O176">
        <f>IF($B176="","",IF($D176=$H176,$B176,IF(AND($K176&lt;&gt;"",$L176&lt;&gt;"",$M176=$N176),$B176*$K176/$L176,$B176)))</f>
        <v/>
      </c>
      <c r="P176">
        <f>IF(OR($B176="",$G176=""),0,$O176*$G176)</f>
        <v/>
      </c>
    </row>
    <row r="177">
      <c r="I177">
        <f>IF($A177="","",COUNTIF($A$2:$A177,$A177))</f>
        <v/>
      </c>
      <c r="J177">
        <f>IF($A177="","",$A177&amp;"|"&amp;$I177)</f>
        <v/>
      </c>
      <c r="K177">
        <f>IF($D177="","",IFERROR(VLOOKUP(LOWER($D177),UnitsTable,3,0),""))</f>
        <v/>
      </c>
      <c r="L177">
        <f>IF($H177="","",IFERROR(VLOOKUP(LOWER($H177),UnitsTable,3,0),""))</f>
        <v/>
      </c>
      <c r="M177">
        <f>IF($D177="","",IFERROR(VLOOKUP(LOWER($D177),UnitsTable,2,0),""))</f>
        <v/>
      </c>
      <c r="N177">
        <f>IF($H177="","",IFERROR(VLOOKUP(LOWER($H177),UnitsTable,2,0),""))</f>
        <v/>
      </c>
      <c r="O177">
        <f>IF($B177="","",IF($D177=$H177,$B177,IF(AND($K177&lt;&gt;"",$L177&lt;&gt;"",$M177=$N177),$B177*$K177/$L177,$B177)))</f>
        <v/>
      </c>
      <c r="P177">
        <f>IF(OR($B177="",$G177=""),0,$O177*$G177)</f>
        <v/>
      </c>
    </row>
    <row r="178">
      <c r="I178">
        <f>IF($A178="","",COUNTIF($A$2:$A178,$A178))</f>
        <v/>
      </c>
      <c r="J178">
        <f>IF($A178="","",$A178&amp;"|"&amp;$I178)</f>
        <v/>
      </c>
      <c r="K178">
        <f>IF($D178="","",IFERROR(VLOOKUP(LOWER($D178),UnitsTable,3,0),""))</f>
        <v/>
      </c>
      <c r="L178">
        <f>IF($H178="","",IFERROR(VLOOKUP(LOWER($H178),UnitsTable,3,0),""))</f>
        <v/>
      </c>
      <c r="M178">
        <f>IF($D178="","",IFERROR(VLOOKUP(LOWER($D178),UnitsTable,2,0),""))</f>
        <v/>
      </c>
      <c r="N178">
        <f>IF($H178="","",IFERROR(VLOOKUP(LOWER($H178),UnitsTable,2,0),""))</f>
        <v/>
      </c>
      <c r="O178">
        <f>IF($B178="","",IF($D178=$H178,$B178,IF(AND($K178&lt;&gt;"",$L178&lt;&gt;"",$M178=$N178),$B178*$K178/$L178,$B178)))</f>
        <v/>
      </c>
      <c r="P178">
        <f>IF(OR($B178="",$G178=""),0,$O178*$G178)</f>
        <v/>
      </c>
    </row>
    <row r="179">
      <c r="I179">
        <f>IF($A179="","",COUNTIF($A$2:$A179,$A179))</f>
        <v/>
      </c>
      <c r="J179">
        <f>IF($A179="","",$A179&amp;"|"&amp;$I179)</f>
        <v/>
      </c>
      <c r="K179">
        <f>IF($D179="","",IFERROR(VLOOKUP(LOWER($D179),UnitsTable,3,0),""))</f>
        <v/>
      </c>
      <c r="L179">
        <f>IF($H179="","",IFERROR(VLOOKUP(LOWER($H179),UnitsTable,3,0),""))</f>
        <v/>
      </c>
      <c r="M179">
        <f>IF($D179="","",IFERROR(VLOOKUP(LOWER($D179),UnitsTable,2,0),""))</f>
        <v/>
      </c>
      <c r="N179">
        <f>IF($H179="","",IFERROR(VLOOKUP(LOWER($H179),UnitsTable,2,0),""))</f>
        <v/>
      </c>
      <c r="O179">
        <f>IF($B179="","",IF($D179=$H179,$B179,IF(AND($K179&lt;&gt;"",$L179&lt;&gt;"",$M179=$N179),$B179*$K179/$L179,$B179)))</f>
        <v/>
      </c>
      <c r="P179">
        <f>IF(OR($B179="",$G179=""),0,$O179*$G179)</f>
        <v/>
      </c>
    </row>
    <row r="180">
      <c r="I180">
        <f>IF($A180="","",COUNTIF($A$2:$A180,$A180))</f>
        <v/>
      </c>
      <c r="J180">
        <f>IF($A180="","",$A180&amp;"|"&amp;$I180)</f>
        <v/>
      </c>
      <c r="K180">
        <f>IF($D180="","",IFERROR(VLOOKUP(LOWER($D180),UnitsTable,3,0),""))</f>
        <v/>
      </c>
      <c r="L180">
        <f>IF($H180="","",IFERROR(VLOOKUP(LOWER($H180),UnitsTable,3,0),""))</f>
        <v/>
      </c>
      <c r="M180">
        <f>IF($D180="","",IFERROR(VLOOKUP(LOWER($D180),UnitsTable,2,0),""))</f>
        <v/>
      </c>
      <c r="N180">
        <f>IF($H180="","",IFERROR(VLOOKUP(LOWER($H180),UnitsTable,2,0),""))</f>
        <v/>
      </c>
      <c r="O180">
        <f>IF($B180="","",IF($D180=$H180,$B180,IF(AND($K180&lt;&gt;"",$L180&lt;&gt;"",$M180=$N180),$B180*$K180/$L180,$B180)))</f>
        <v/>
      </c>
      <c r="P180">
        <f>IF(OR($B180="",$G180=""),0,$O180*$G180)</f>
        <v/>
      </c>
    </row>
    <row r="181">
      <c r="I181">
        <f>IF($A181="","",COUNTIF($A$2:$A181,$A181))</f>
        <v/>
      </c>
      <c r="J181">
        <f>IF($A181="","",$A181&amp;"|"&amp;$I181)</f>
        <v/>
      </c>
      <c r="K181">
        <f>IF($D181="","",IFERROR(VLOOKUP(LOWER($D181),UnitsTable,3,0),""))</f>
        <v/>
      </c>
      <c r="L181">
        <f>IF($H181="","",IFERROR(VLOOKUP(LOWER($H181),UnitsTable,3,0),""))</f>
        <v/>
      </c>
      <c r="M181">
        <f>IF($D181="","",IFERROR(VLOOKUP(LOWER($D181),UnitsTable,2,0),""))</f>
        <v/>
      </c>
      <c r="N181">
        <f>IF($H181="","",IFERROR(VLOOKUP(LOWER($H181),UnitsTable,2,0),""))</f>
        <v/>
      </c>
      <c r="O181">
        <f>IF($B181="","",IF($D181=$H181,$B181,IF(AND($K181&lt;&gt;"",$L181&lt;&gt;"",$M181=$N181),$B181*$K181/$L181,$B181)))</f>
        <v/>
      </c>
      <c r="P181">
        <f>IF(OR($B181="",$G181=""),0,$O181*$G181)</f>
        <v/>
      </c>
    </row>
    <row r="182">
      <c r="I182">
        <f>IF($A182="","",COUNTIF($A$2:$A182,$A182))</f>
        <v/>
      </c>
      <c r="J182">
        <f>IF($A182="","",$A182&amp;"|"&amp;$I182)</f>
        <v/>
      </c>
      <c r="K182">
        <f>IF($D182="","",IFERROR(VLOOKUP(LOWER($D182),UnitsTable,3,0),""))</f>
        <v/>
      </c>
      <c r="L182">
        <f>IF($H182="","",IFERROR(VLOOKUP(LOWER($H182),UnitsTable,3,0),""))</f>
        <v/>
      </c>
      <c r="M182">
        <f>IF($D182="","",IFERROR(VLOOKUP(LOWER($D182),UnitsTable,2,0),""))</f>
        <v/>
      </c>
      <c r="N182">
        <f>IF($H182="","",IFERROR(VLOOKUP(LOWER($H182),UnitsTable,2,0),""))</f>
        <v/>
      </c>
      <c r="O182">
        <f>IF($B182="","",IF($D182=$H182,$B182,IF(AND($K182&lt;&gt;"",$L182&lt;&gt;"",$M182=$N182),$B182*$K182/$L182,$B182)))</f>
        <v/>
      </c>
      <c r="P182">
        <f>IF(OR($B182="",$G182=""),0,$O182*$G182)</f>
        <v/>
      </c>
    </row>
    <row r="183">
      <c r="I183">
        <f>IF($A183="","",COUNTIF($A$2:$A183,$A183))</f>
        <v/>
      </c>
      <c r="J183">
        <f>IF($A183="","",$A183&amp;"|"&amp;$I183)</f>
        <v/>
      </c>
      <c r="K183">
        <f>IF($D183="","",IFERROR(VLOOKUP(LOWER($D183),UnitsTable,3,0),""))</f>
        <v/>
      </c>
      <c r="L183">
        <f>IF($H183="","",IFERROR(VLOOKUP(LOWER($H183),UnitsTable,3,0),""))</f>
        <v/>
      </c>
      <c r="M183">
        <f>IF($D183="","",IFERROR(VLOOKUP(LOWER($D183),UnitsTable,2,0),""))</f>
        <v/>
      </c>
      <c r="N183">
        <f>IF($H183="","",IFERROR(VLOOKUP(LOWER($H183),UnitsTable,2,0),""))</f>
        <v/>
      </c>
      <c r="O183">
        <f>IF($B183="","",IF($D183=$H183,$B183,IF(AND($K183&lt;&gt;"",$L183&lt;&gt;"",$M183=$N183),$B183*$K183/$L183,$B183)))</f>
        <v/>
      </c>
      <c r="P183">
        <f>IF(OR($B183="",$G183=""),0,$O183*$G183)</f>
        <v/>
      </c>
    </row>
    <row r="184">
      <c r="I184">
        <f>IF($A184="","",COUNTIF($A$2:$A184,$A184))</f>
        <v/>
      </c>
      <c r="J184">
        <f>IF($A184="","",$A184&amp;"|"&amp;$I184)</f>
        <v/>
      </c>
      <c r="K184">
        <f>IF($D184="","",IFERROR(VLOOKUP(LOWER($D184),UnitsTable,3,0),""))</f>
        <v/>
      </c>
      <c r="L184">
        <f>IF($H184="","",IFERROR(VLOOKUP(LOWER($H184),UnitsTable,3,0),""))</f>
        <v/>
      </c>
      <c r="M184">
        <f>IF($D184="","",IFERROR(VLOOKUP(LOWER($D184),UnitsTable,2,0),""))</f>
        <v/>
      </c>
      <c r="N184">
        <f>IF($H184="","",IFERROR(VLOOKUP(LOWER($H184),UnitsTable,2,0),""))</f>
        <v/>
      </c>
      <c r="O184">
        <f>IF($B184="","",IF($D184=$H184,$B184,IF(AND($K184&lt;&gt;"",$L184&lt;&gt;"",$M184=$N184),$B184*$K184/$L184,$B184)))</f>
        <v/>
      </c>
      <c r="P184">
        <f>IF(OR($B184="",$G184=""),0,$O184*$G184)</f>
        <v/>
      </c>
    </row>
    <row r="185">
      <c r="I185">
        <f>IF($A185="","",COUNTIF($A$2:$A185,$A185))</f>
        <v/>
      </c>
      <c r="J185">
        <f>IF($A185="","",$A185&amp;"|"&amp;$I185)</f>
        <v/>
      </c>
      <c r="K185">
        <f>IF($D185="","",IFERROR(VLOOKUP(LOWER($D185),UnitsTable,3,0),""))</f>
        <v/>
      </c>
      <c r="L185">
        <f>IF($H185="","",IFERROR(VLOOKUP(LOWER($H185),UnitsTable,3,0),""))</f>
        <v/>
      </c>
      <c r="M185">
        <f>IF($D185="","",IFERROR(VLOOKUP(LOWER($D185),UnitsTable,2,0),""))</f>
        <v/>
      </c>
      <c r="N185">
        <f>IF($H185="","",IFERROR(VLOOKUP(LOWER($H185),UnitsTable,2,0),""))</f>
        <v/>
      </c>
      <c r="O185">
        <f>IF($B185="","",IF($D185=$H185,$B185,IF(AND($K185&lt;&gt;"",$L185&lt;&gt;"",$M185=$N185),$B185*$K185/$L185,$B185)))</f>
        <v/>
      </c>
      <c r="P185">
        <f>IF(OR($B185="",$G185=""),0,$O185*$G185)</f>
        <v/>
      </c>
    </row>
    <row r="186">
      <c r="I186">
        <f>IF($A186="","",COUNTIF($A$2:$A186,$A186))</f>
        <v/>
      </c>
      <c r="J186">
        <f>IF($A186="","",$A186&amp;"|"&amp;$I186)</f>
        <v/>
      </c>
      <c r="K186">
        <f>IF($D186="","",IFERROR(VLOOKUP(LOWER($D186),UnitsTable,3,0),""))</f>
        <v/>
      </c>
      <c r="L186">
        <f>IF($H186="","",IFERROR(VLOOKUP(LOWER($H186),UnitsTable,3,0),""))</f>
        <v/>
      </c>
      <c r="M186">
        <f>IF($D186="","",IFERROR(VLOOKUP(LOWER($D186),UnitsTable,2,0),""))</f>
        <v/>
      </c>
      <c r="N186">
        <f>IF($H186="","",IFERROR(VLOOKUP(LOWER($H186),UnitsTable,2,0),""))</f>
        <v/>
      </c>
      <c r="O186">
        <f>IF($B186="","",IF($D186=$H186,$B186,IF(AND($K186&lt;&gt;"",$L186&lt;&gt;"",$M186=$N186),$B186*$K186/$L186,$B186)))</f>
        <v/>
      </c>
      <c r="P186">
        <f>IF(OR($B186="",$G186=""),0,$O186*$G186)</f>
        <v/>
      </c>
    </row>
    <row r="187">
      <c r="I187">
        <f>IF($A187="","",COUNTIF($A$2:$A187,$A187))</f>
        <v/>
      </c>
      <c r="J187">
        <f>IF($A187="","",$A187&amp;"|"&amp;$I187)</f>
        <v/>
      </c>
      <c r="K187">
        <f>IF($D187="","",IFERROR(VLOOKUP(LOWER($D187),UnitsTable,3,0),""))</f>
        <v/>
      </c>
      <c r="L187">
        <f>IF($H187="","",IFERROR(VLOOKUP(LOWER($H187),UnitsTable,3,0),""))</f>
        <v/>
      </c>
      <c r="M187">
        <f>IF($D187="","",IFERROR(VLOOKUP(LOWER($D187),UnitsTable,2,0),""))</f>
        <v/>
      </c>
      <c r="N187">
        <f>IF($H187="","",IFERROR(VLOOKUP(LOWER($H187),UnitsTable,2,0),""))</f>
        <v/>
      </c>
      <c r="O187">
        <f>IF($B187="","",IF($D187=$H187,$B187,IF(AND($K187&lt;&gt;"",$L187&lt;&gt;"",$M187=$N187),$B187*$K187/$L187,$B187)))</f>
        <v/>
      </c>
      <c r="P187">
        <f>IF(OR($B187="",$G187=""),0,$O187*$G187)</f>
        <v/>
      </c>
    </row>
    <row r="188">
      <c r="I188">
        <f>IF($A188="","",COUNTIF($A$2:$A188,$A188))</f>
        <v/>
      </c>
      <c r="J188">
        <f>IF($A188="","",$A188&amp;"|"&amp;$I188)</f>
        <v/>
      </c>
      <c r="K188">
        <f>IF($D188="","",IFERROR(VLOOKUP(LOWER($D188),UnitsTable,3,0),""))</f>
        <v/>
      </c>
      <c r="L188">
        <f>IF($H188="","",IFERROR(VLOOKUP(LOWER($H188),UnitsTable,3,0),""))</f>
        <v/>
      </c>
      <c r="M188">
        <f>IF($D188="","",IFERROR(VLOOKUP(LOWER($D188),UnitsTable,2,0),""))</f>
        <v/>
      </c>
      <c r="N188">
        <f>IF($H188="","",IFERROR(VLOOKUP(LOWER($H188),UnitsTable,2,0),""))</f>
        <v/>
      </c>
      <c r="O188">
        <f>IF($B188="","",IF($D188=$H188,$B188,IF(AND($K188&lt;&gt;"",$L188&lt;&gt;"",$M188=$N188),$B188*$K188/$L188,$B188)))</f>
        <v/>
      </c>
      <c r="P188">
        <f>IF(OR($B188="",$G188=""),0,$O188*$G188)</f>
        <v/>
      </c>
    </row>
    <row r="189">
      <c r="I189">
        <f>IF($A189="","",COUNTIF($A$2:$A189,$A189))</f>
        <v/>
      </c>
      <c r="J189">
        <f>IF($A189="","",$A189&amp;"|"&amp;$I189)</f>
        <v/>
      </c>
      <c r="K189">
        <f>IF($D189="","",IFERROR(VLOOKUP(LOWER($D189),UnitsTable,3,0),""))</f>
        <v/>
      </c>
      <c r="L189">
        <f>IF($H189="","",IFERROR(VLOOKUP(LOWER($H189),UnitsTable,3,0),""))</f>
        <v/>
      </c>
      <c r="M189">
        <f>IF($D189="","",IFERROR(VLOOKUP(LOWER($D189),UnitsTable,2,0),""))</f>
        <v/>
      </c>
      <c r="N189">
        <f>IF($H189="","",IFERROR(VLOOKUP(LOWER($H189),UnitsTable,2,0),""))</f>
        <v/>
      </c>
      <c r="O189">
        <f>IF($B189="","",IF($D189=$H189,$B189,IF(AND($K189&lt;&gt;"",$L189&lt;&gt;"",$M189=$N189),$B189*$K189/$L189,$B189)))</f>
        <v/>
      </c>
      <c r="P189">
        <f>IF(OR($B189="",$G189=""),0,$O189*$G189)</f>
        <v/>
      </c>
    </row>
    <row r="190">
      <c r="I190">
        <f>IF($A190="","",COUNTIF($A$2:$A190,$A190))</f>
        <v/>
      </c>
      <c r="J190">
        <f>IF($A190="","",$A190&amp;"|"&amp;$I190)</f>
        <v/>
      </c>
      <c r="K190">
        <f>IF($D190="","",IFERROR(VLOOKUP(LOWER($D190),UnitsTable,3,0),""))</f>
        <v/>
      </c>
      <c r="L190">
        <f>IF($H190="","",IFERROR(VLOOKUP(LOWER($H190),UnitsTable,3,0),""))</f>
        <v/>
      </c>
      <c r="M190">
        <f>IF($D190="","",IFERROR(VLOOKUP(LOWER($D190),UnitsTable,2,0),""))</f>
        <v/>
      </c>
      <c r="N190">
        <f>IF($H190="","",IFERROR(VLOOKUP(LOWER($H190),UnitsTable,2,0),""))</f>
        <v/>
      </c>
      <c r="O190">
        <f>IF($B190="","",IF($D190=$H190,$B190,IF(AND($K190&lt;&gt;"",$L190&lt;&gt;"",$M190=$N190),$B190*$K190/$L190,$B190)))</f>
        <v/>
      </c>
      <c r="P190">
        <f>IF(OR($B190="",$G190=""),0,$O190*$G190)</f>
        <v/>
      </c>
    </row>
    <row r="191">
      <c r="I191">
        <f>IF($A191="","",COUNTIF($A$2:$A191,$A191))</f>
        <v/>
      </c>
      <c r="J191">
        <f>IF($A191="","",$A191&amp;"|"&amp;$I191)</f>
        <v/>
      </c>
      <c r="K191">
        <f>IF($D191="","",IFERROR(VLOOKUP(LOWER($D191),UnitsTable,3,0),""))</f>
        <v/>
      </c>
      <c r="L191">
        <f>IF($H191="","",IFERROR(VLOOKUP(LOWER($H191),UnitsTable,3,0),""))</f>
        <v/>
      </c>
      <c r="M191">
        <f>IF($D191="","",IFERROR(VLOOKUP(LOWER($D191),UnitsTable,2,0),""))</f>
        <v/>
      </c>
      <c r="N191">
        <f>IF($H191="","",IFERROR(VLOOKUP(LOWER($H191),UnitsTable,2,0),""))</f>
        <v/>
      </c>
      <c r="O191">
        <f>IF($B191="","",IF($D191=$H191,$B191,IF(AND($K191&lt;&gt;"",$L191&lt;&gt;"",$M191=$N191),$B191*$K191/$L191,$B191)))</f>
        <v/>
      </c>
      <c r="P191">
        <f>IF(OR($B191="",$G191=""),0,$O191*$G191)</f>
        <v/>
      </c>
    </row>
    <row r="192">
      <c r="I192">
        <f>IF($A192="","",COUNTIF($A$2:$A192,$A192))</f>
        <v/>
      </c>
      <c r="J192">
        <f>IF($A192="","",$A192&amp;"|"&amp;$I192)</f>
        <v/>
      </c>
      <c r="K192">
        <f>IF($D192="","",IFERROR(VLOOKUP(LOWER($D192),UnitsTable,3,0),""))</f>
        <v/>
      </c>
      <c r="L192">
        <f>IF($H192="","",IFERROR(VLOOKUP(LOWER($H192),UnitsTable,3,0),""))</f>
        <v/>
      </c>
      <c r="M192">
        <f>IF($D192="","",IFERROR(VLOOKUP(LOWER($D192),UnitsTable,2,0),""))</f>
        <v/>
      </c>
      <c r="N192">
        <f>IF($H192="","",IFERROR(VLOOKUP(LOWER($H192),UnitsTable,2,0),""))</f>
        <v/>
      </c>
      <c r="O192">
        <f>IF($B192="","",IF($D192=$H192,$B192,IF(AND($K192&lt;&gt;"",$L192&lt;&gt;"",$M192=$N192),$B192*$K192/$L192,$B192)))</f>
        <v/>
      </c>
      <c r="P192">
        <f>IF(OR($B192="",$G192=""),0,$O192*$G192)</f>
        <v/>
      </c>
    </row>
    <row r="193">
      <c r="I193">
        <f>IF($A193="","",COUNTIF($A$2:$A193,$A193))</f>
        <v/>
      </c>
      <c r="J193">
        <f>IF($A193="","",$A193&amp;"|"&amp;$I193)</f>
        <v/>
      </c>
      <c r="K193">
        <f>IF($D193="","",IFERROR(VLOOKUP(LOWER($D193),UnitsTable,3,0),""))</f>
        <v/>
      </c>
      <c r="L193">
        <f>IF($H193="","",IFERROR(VLOOKUP(LOWER($H193),UnitsTable,3,0),""))</f>
        <v/>
      </c>
      <c r="M193">
        <f>IF($D193="","",IFERROR(VLOOKUP(LOWER($D193),UnitsTable,2,0),""))</f>
        <v/>
      </c>
      <c r="N193">
        <f>IF($H193="","",IFERROR(VLOOKUP(LOWER($H193),UnitsTable,2,0),""))</f>
        <v/>
      </c>
      <c r="O193">
        <f>IF($B193="","",IF($D193=$H193,$B193,IF(AND($K193&lt;&gt;"",$L193&lt;&gt;"",$M193=$N193),$B193*$K193/$L193,$B193)))</f>
        <v/>
      </c>
      <c r="P193">
        <f>IF(OR($B193="",$G193=""),0,$O193*$G193)</f>
        <v/>
      </c>
    </row>
    <row r="194">
      <c r="I194">
        <f>IF($A194="","",COUNTIF($A$2:$A194,$A194))</f>
        <v/>
      </c>
      <c r="J194">
        <f>IF($A194="","",$A194&amp;"|"&amp;$I194)</f>
        <v/>
      </c>
      <c r="K194">
        <f>IF($D194="","",IFERROR(VLOOKUP(LOWER($D194),UnitsTable,3,0),""))</f>
        <v/>
      </c>
      <c r="L194">
        <f>IF($H194="","",IFERROR(VLOOKUP(LOWER($H194),UnitsTable,3,0),""))</f>
        <v/>
      </c>
      <c r="M194">
        <f>IF($D194="","",IFERROR(VLOOKUP(LOWER($D194),UnitsTable,2,0),""))</f>
        <v/>
      </c>
      <c r="N194">
        <f>IF($H194="","",IFERROR(VLOOKUP(LOWER($H194),UnitsTable,2,0),""))</f>
        <v/>
      </c>
      <c r="O194">
        <f>IF($B194="","",IF($D194=$H194,$B194,IF(AND($K194&lt;&gt;"",$L194&lt;&gt;"",$M194=$N194),$B194*$K194/$L194,$B194)))</f>
        <v/>
      </c>
      <c r="P194">
        <f>IF(OR($B194="",$G194=""),0,$O194*$G194)</f>
        <v/>
      </c>
    </row>
    <row r="195">
      <c r="I195">
        <f>IF($A195="","",COUNTIF($A$2:$A195,$A195))</f>
        <v/>
      </c>
      <c r="J195">
        <f>IF($A195="","",$A195&amp;"|"&amp;$I195)</f>
        <v/>
      </c>
      <c r="K195">
        <f>IF($D195="","",IFERROR(VLOOKUP(LOWER($D195),UnitsTable,3,0),""))</f>
        <v/>
      </c>
      <c r="L195">
        <f>IF($H195="","",IFERROR(VLOOKUP(LOWER($H195),UnitsTable,3,0),""))</f>
        <v/>
      </c>
      <c r="M195">
        <f>IF($D195="","",IFERROR(VLOOKUP(LOWER($D195),UnitsTable,2,0),""))</f>
        <v/>
      </c>
      <c r="N195">
        <f>IF($H195="","",IFERROR(VLOOKUP(LOWER($H195),UnitsTable,2,0),""))</f>
        <v/>
      </c>
      <c r="O195">
        <f>IF($B195="","",IF($D195=$H195,$B195,IF(AND($K195&lt;&gt;"",$L195&lt;&gt;"",$M195=$N195),$B195*$K195/$L195,$B195)))</f>
        <v/>
      </c>
      <c r="P195">
        <f>IF(OR($B195="",$G195=""),0,$O195*$G195)</f>
        <v/>
      </c>
    </row>
    <row r="196">
      <c r="I196">
        <f>IF($A196="","",COUNTIF($A$2:$A196,$A196))</f>
        <v/>
      </c>
      <c r="J196">
        <f>IF($A196="","",$A196&amp;"|"&amp;$I196)</f>
        <v/>
      </c>
      <c r="K196">
        <f>IF($D196="","",IFERROR(VLOOKUP(LOWER($D196),UnitsTable,3,0),""))</f>
        <v/>
      </c>
      <c r="L196">
        <f>IF($H196="","",IFERROR(VLOOKUP(LOWER($H196),UnitsTable,3,0),""))</f>
        <v/>
      </c>
      <c r="M196">
        <f>IF($D196="","",IFERROR(VLOOKUP(LOWER($D196),UnitsTable,2,0),""))</f>
        <v/>
      </c>
      <c r="N196">
        <f>IF($H196="","",IFERROR(VLOOKUP(LOWER($H196),UnitsTable,2,0),""))</f>
        <v/>
      </c>
      <c r="O196">
        <f>IF($B196="","",IF($D196=$H196,$B196,IF(AND($K196&lt;&gt;"",$L196&lt;&gt;"",$M196=$N196),$B196*$K196/$L196,$B196)))</f>
        <v/>
      </c>
      <c r="P196">
        <f>IF(OR($B196="",$G196=""),0,$O196*$G196)</f>
        <v/>
      </c>
    </row>
    <row r="197">
      <c r="I197">
        <f>IF($A197="","",COUNTIF($A$2:$A197,$A197))</f>
        <v/>
      </c>
      <c r="J197">
        <f>IF($A197="","",$A197&amp;"|"&amp;$I197)</f>
        <v/>
      </c>
      <c r="K197">
        <f>IF($D197="","",IFERROR(VLOOKUP(LOWER($D197),UnitsTable,3,0),""))</f>
        <v/>
      </c>
      <c r="L197">
        <f>IF($H197="","",IFERROR(VLOOKUP(LOWER($H197),UnitsTable,3,0),""))</f>
        <v/>
      </c>
      <c r="M197">
        <f>IF($D197="","",IFERROR(VLOOKUP(LOWER($D197),UnitsTable,2,0),""))</f>
        <v/>
      </c>
      <c r="N197">
        <f>IF($H197="","",IFERROR(VLOOKUP(LOWER($H197),UnitsTable,2,0),""))</f>
        <v/>
      </c>
      <c r="O197">
        <f>IF($B197="","",IF($D197=$H197,$B197,IF(AND($K197&lt;&gt;"",$L197&lt;&gt;"",$M197=$N197),$B197*$K197/$L197,$B197)))</f>
        <v/>
      </c>
      <c r="P197">
        <f>IF(OR($B197="",$G197=""),0,$O197*$G197)</f>
        <v/>
      </c>
    </row>
    <row r="198">
      <c r="I198">
        <f>IF($A198="","",COUNTIF($A$2:$A198,$A198))</f>
        <v/>
      </c>
      <c r="J198">
        <f>IF($A198="","",$A198&amp;"|"&amp;$I198)</f>
        <v/>
      </c>
      <c r="K198">
        <f>IF($D198="","",IFERROR(VLOOKUP(LOWER($D198),UnitsTable,3,0),""))</f>
        <v/>
      </c>
      <c r="L198">
        <f>IF($H198="","",IFERROR(VLOOKUP(LOWER($H198),UnitsTable,3,0),""))</f>
        <v/>
      </c>
      <c r="M198">
        <f>IF($D198="","",IFERROR(VLOOKUP(LOWER($D198),UnitsTable,2,0),""))</f>
        <v/>
      </c>
      <c r="N198">
        <f>IF($H198="","",IFERROR(VLOOKUP(LOWER($H198),UnitsTable,2,0),""))</f>
        <v/>
      </c>
      <c r="O198">
        <f>IF($B198="","",IF($D198=$H198,$B198,IF(AND($K198&lt;&gt;"",$L198&lt;&gt;"",$M198=$N198),$B198*$K198/$L198,$B198)))</f>
        <v/>
      </c>
      <c r="P198">
        <f>IF(OR($B198="",$G198=""),0,$O198*$G198)</f>
        <v/>
      </c>
    </row>
    <row r="199">
      <c r="I199">
        <f>IF($A199="","",COUNTIF($A$2:$A199,$A199))</f>
        <v/>
      </c>
      <c r="J199">
        <f>IF($A199="","",$A199&amp;"|"&amp;$I199)</f>
        <v/>
      </c>
      <c r="K199">
        <f>IF($D199="","",IFERROR(VLOOKUP(LOWER($D199),UnitsTable,3,0),""))</f>
        <v/>
      </c>
      <c r="L199">
        <f>IF($H199="","",IFERROR(VLOOKUP(LOWER($H199),UnitsTable,3,0),""))</f>
        <v/>
      </c>
      <c r="M199">
        <f>IF($D199="","",IFERROR(VLOOKUP(LOWER($D199),UnitsTable,2,0),""))</f>
        <v/>
      </c>
      <c r="N199">
        <f>IF($H199="","",IFERROR(VLOOKUP(LOWER($H199),UnitsTable,2,0),""))</f>
        <v/>
      </c>
      <c r="O199">
        <f>IF($B199="","",IF($D199=$H199,$B199,IF(AND($K199&lt;&gt;"",$L199&lt;&gt;"",$M199=$N199),$B199*$K199/$L199,$B199)))</f>
        <v/>
      </c>
      <c r="P199">
        <f>IF(OR($B199="",$G199=""),0,$O199*$G199)</f>
        <v/>
      </c>
    </row>
    <row r="200">
      <c r="I200">
        <f>IF($A200="","",COUNTIF($A$2:$A200,$A200))</f>
        <v/>
      </c>
      <c r="J200">
        <f>IF($A200="","",$A200&amp;"|"&amp;$I200)</f>
        <v/>
      </c>
      <c r="K200">
        <f>IF($D200="","",IFERROR(VLOOKUP(LOWER($D200),UnitsTable,3,0),""))</f>
        <v/>
      </c>
      <c r="L200">
        <f>IF($H200="","",IFERROR(VLOOKUP(LOWER($H200),UnitsTable,3,0),""))</f>
        <v/>
      </c>
      <c r="M200">
        <f>IF($D200="","",IFERROR(VLOOKUP(LOWER($D200),UnitsTable,2,0),""))</f>
        <v/>
      </c>
      <c r="N200">
        <f>IF($H200="","",IFERROR(VLOOKUP(LOWER($H200),UnitsTable,2,0),""))</f>
        <v/>
      </c>
      <c r="O200">
        <f>IF($B200="","",IF($D200=$H200,$B200,IF(AND($K200&lt;&gt;"",$L200&lt;&gt;"",$M200=$N200),$B200*$K200/$L200,$B200)))</f>
        <v/>
      </c>
      <c r="P200">
        <f>IF(OR($B200="",$G200=""),0,$O200*$G200)</f>
        <v/>
      </c>
    </row>
    <row r="201">
      <c r="I201">
        <f>IF($A201="","",COUNTIF($A$2:$A201,$A201))</f>
        <v/>
      </c>
      <c r="J201">
        <f>IF($A201="","",$A201&amp;"|"&amp;$I201)</f>
        <v/>
      </c>
      <c r="K201">
        <f>IF($D201="","",IFERROR(VLOOKUP(LOWER($D201),UnitsTable,3,0),""))</f>
        <v/>
      </c>
      <c r="L201">
        <f>IF($H201="","",IFERROR(VLOOKUP(LOWER($H201),UnitsTable,3,0),""))</f>
        <v/>
      </c>
      <c r="M201">
        <f>IF($D201="","",IFERROR(VLOOKUP(LOWER($D201),UnitsTable,2,0),""))</f>
        <v/>
      </c>
      <c r="N201">
        <f>IF($H201="","",IFERROR(VLOOKUP(LOWER($H201),UnitsTable,2,0),""))</f>
        <v/>
      </c>
      <c r="O201">
        <f>IF($B201="","",IF($D201=$H201,$B201,IF(AND($K201&lt;&gt;"",$L201&lt;&gt;"",$M201=$N201),$B201*$K201/$L201,$B201)))</f>
        <v/>
      </c>
      <c r="P201">
        <f>IF(OR($B201="",$G201=""),0,$O201*$G201)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60" customWidth="1" min="4" max="4"/>
    <col hidden="1" width="8" customWidth="1" min="5" max="5"/>
    <col hidden="1" width="22" customWidth="1" min="6" max="6"/>
  </cols>
  <sheetData>
    <row r="1" ht="20" customHeight="1">
      <c r="A1" s="31" t="inlineStr">
        <is>
          <t>Recipe</t>
        </is>
      </c>
      <c r="B1" s="31" t="inlineStr">
        <is>
          <t>Title</t>
        </is>
      </c>
      <c r="C1" s="31" t="inlineStr">
        <is>
          <t>Time</t>
        </is>
      </c>
      <c r="D1" s="31" t="inlineStr">
        <is>
          <t>Description</t>
        </is>
      </c>
      <c r="E1" s="31" t="inlineStr">
        <is>
          <t>Seq</t>
        </is>
      </c>
      <c r="F1" s="31" t="inlineStr">
        <is>
          <t>Key</t>
        </is>
      </c>
    </row>
    <row r="2">
      <c r="A2" t="inlineStr">
        <is>
          <t>House Potato Chips</t>
        </is>
      </c>
      <c r="B2" t="inlineStr">
        <is>
          <t>Wash potatoes</t>
        </is>
      </c>
      <c r="C2" t="inlineStr">
        <is>
          <t>3 min</t>
        </is>
      </c>
      <c r="D2" t="inlineStr">
        <is>
          <t>Scrub thoroughly under cold running water. Keep skins intact.</t>
        </is>
      </c>
      <c r="E2">
        <f>IF($A2="","",COUNTIF($A$2:$A2,$A2))</f>
        <v/>
      </c>
      <c r="F2">
        <f>IF($A2="","",$A2&amp;"|"&amp;$E2)</f>
        <v/>
      </c>
    </row>
    <row r="3">
      <c r="A3" t="inlineStr">
        <is>
          <t>House Potato Chips</t>
        </is>
      </c>
      <c r="B3" t="inlineStr">
        <is>
          <t>Slice</t>
        </is>
      </c>
      <c r="C3" t="inlineStr">
        <is>
          <t>10 min</t>
        </is>
      </c>
      <c r="D3" t="inlineStr">
        <is>
          <t>Slice 1.5–2 mm thick on mandoline. Keep thickness consistent.</t>
        </is>
      </c>
      <c r="E3">
        <f>IF($A3="","",COUNTIF($A$2:$A3,$A3))</f>
        <v/>
      </c>
      <c r="F3">
        <f>IF($A3="","",$A3&amp;"|"&amp;$E3)</f>
        <v/>
      </c>
    </row>
    <row r="4">
      <c r="A4" t="inlineStr">
        <is>
          <t>House Potato Chips</t>
        </is>
      </c>
      <c r="B4" t="inlineStr">
        <is>
          <t>Build brine</t>
        </is>
      </c>
      <c r="C4" t="inlineStr">
        <is>
          <t>2 min</t>
        </is>
      </c>
      <c r="D4" t="inlineStr">
        <is>
          <t>Combine water, salt, and vinegar in a large container.</t>
        </is>
      </c>
      <c r="E4">
        <f>IF($A4="","",COUNTIF($A$2:$A4,$A4))</f>
        <v/>
      </c>
      <c r="F4">
        <f>IF($A4="","",$A4&amp;"|"&amp;$E4)</f>
        <v/>
      </c>
    </row>
    <row r="5">
      <c r="A5" t="inlineStr">
        <is>
          <t>House Potato Chips</t>
        </is>
      </c>
      <c r="B5" t="inlineStr">
        <is>
          <t>Soak</t>
        </is>
      </c>
      <c r="C5" t="inlineStr">
        <is>
          <t>30 min</t>
        </is>
      </c>
      <c r="D5" t="inlineStr">
        <is>
          <t>Submerge slices in brine to pull starch.</t>
        </is>
      </c>
      <c r="E5">
        <f>IF($A5="","",COUNTIF($A$2:$A5,$A5))</f>
        <v/>
      </c>
      <c r="F5">
        <f>IF($A5="","",$A5&amp;"|"&amp;$E5)</f>
        <v/>
      </c>
    </row>
    <row r="6">
      <c r="A6" t="inlineStr">
        <is>
          <t>House Potato Chips</t>
        </is>
      </c>
      <c r="B6" t="inlineStr">
        <is>
          <t>Drain &amp; rinse</t>
        </is>
      </c>
      <c r="C6" t="inlineStr">
        <is>
          <t>1 min</t>
        </is>
      </c>
      <c r="D6" t="inlineStr">
        <is>
          <t>Drain, then rinse briefly under cold water.</t>
        </is>
      </c>
      <c r="E6">
        <f>IF($A6="","",COUNTIF($A$2:$A6,$A6))</f>
        <v/>
      </c>
      <c r="F6">
        <f>IF($A6="","",$A6&amp;"|"&amp;$E6)</f>
        <v/>
      </c>
    </row>
    <row r="7">
      <c r="A7" t="inlineStr">
        <is>
          <t>House Potato Chips</t>
        </is>
      </c>
      <c r="B7" t="inlineStr">
        <is>
          <t>Dry</t>
        </is>
      </c>
      <c r="C7" t="inlineStr">
        <is>
          <t>10 min</t>
        </is>
      </c>
      <c r="D7" t="inlineStr">
        <is>
          <t>Spread on sheet trays; dry fully with towels or spinner.</t>
        </is>
      </c>
      <c r="E7">
        <f>IF($A7="","",COUNTIF($A$2:$A7,$A7))</f>
        <v/>
      </c>
      <c r="F7">
        <f>IF($A7="","",$A7&amp;"|"&amp;$E7)</f>
        <v/>
      </c>
    </row>
    <row r="8">
      <c r="A8" t="inlineStr">
        <is>
          <t>House Potato Chips</t>
        </is>
      </c>
      <c r="B8" t="inlineStr">
        <is>
          <t>Heat oil</t>
        </is>
      </c>
      <c r="C8" t="inlineStr">
        <is>
          <t>10 min</t>
        </is>
      </c>
      <c r="D8" t="inlineStr">
        <is>
          <t>Bring fryer oil to 350°F.</t>
        </is>
      </c>
      <c r="E8">
        <f>IF($A8="","",COUNTIF($A$2:$A8,$A8))</f>
        <v/>
      </c>
      <c r="F8">
        <f>IF($A8="","",$A8&amp;"|"&amp;$E8)</f>
        <v/>
      </c>
    </row>
    <row r="9">
      <c r="A9" t="inlineStr">
        <is>
          <t>House Potato Chips</t>
        </is>
      </c>
      <c r="B9" t="inlineStr">
        <is>
          <t>Fry</t>
        </is>
      </c>
      <c r="C9" t="inlineStr">
        <is>
          <t>2–3 min</t>
        </is>
      </c>
      <c r="D9" t="inlineStr">
        <is>
          <t>Fry in small batches until lightly golden and crisp.</t>
        </is>
      </c>
      <c r="E9">
        <f>IF($A9="","",COUNTIF($A$2:$A9,$A9))</f>
        <v/>
      </c>
      <c r="F9">
        <f>IF($A9="","",$A9&amp;"|"&amp;$E9)</f>
        <v/>
      </c>
    </row>
    <row r="10">
      <c r="A10" t="inlineStr">
        <is>
          <t>House Potato Chips</t>
        </is>
      </c>
      <c r="B10" t="inlineStr">
        <is>
          <t>Drain</t>
        </is>
      </c>
      <c r="C10" t="inlineStr">
        <is>
          <t>30 sec</t>
        </is>
      </c>
      <c r="D10" t="inlineStr">
        <is>
          <t>Remove and drain briefly on rack or paper.</t>
        </is>
      </c>
      <c r="E10">
        <f>IF($A10="","",COUNTIF($A$2:$A10,$A10))</f>
        <v/>
      </c>
      <c r="F10">
        <f>IF($A10="","",$A10&amp;"|"&amp;$E10)</f>
        <v/>
      </c>
    </row>
    <row r="11">
      <c r="A11" t="inlineStr">
        <is>
          <t>House Potato Chips</t>
        </is>
      </c>
      <c r="B11" t="inlineStr">
        <is>
          <t>Season</t>
        </is>
      </c>
      <c r="C11" t="inlineStr">
        <is>
          <t>1 min</t>
        </is>
      </c>
      <c r="D11" t="inlineStr">
        <is>
          <t>Season immediately with kosher salt while hot.</t>
        </is>
      </c>
      <c r="E11">
        <f>IF($A11="","",COUNTIF($A$2:$A11,$A11))</f>
        <v/>
      </c>
      <c r="F11">
        <f>IF($A11="","",$A11&amp;"|"&amp;$E11)</f>
        <v/>
      </c>
    </row>
    <row r="12">
      <c r="A12" t="inlineStr">
        <is>
          <t>House Potato Chips</t>
        </is>
      </c>
      <c r="B12" t="inlineStr">
        <is>
          <t>Cool &amp; hold</t>
        </is>
      </c>
      <c r="C12" t="inlineStr">
        <is>
          <t>5 min</t>
        </is>
      </c>
      <c r="D12" t="inlineStr">
        <is>
          <t>Cool on trays until fully crisp, then transfer to service bowl or airtight container.</t>
        </is>
      </c>
      <c r="E12">
        <f>IF($A12="","",COUNTIF($A$2:$A12,$A12))</f>
        <v/>
      </c>
      <c r="F12">
        <f>IF($A12="","",$A12&amp;"|"&amp;$E12)</f>
        <v/>
      </c>
    </row>
    <row r="13">
      <c r="A13" t="inlineStr">
        <is>
          <t>Spaghetti Carbonara</t>
        </is>
      </c>
      <c r="B13" t="inlineStr">
        <is>
          <t>Boil pasta</t>
        </is>
      </c>
      <c r="C13" t="inlineStr">
        <is>
          <t>9 min</t>
        </is>
      </c>
      <c r="D13" t="inlineStr">
        <is>
          <t>Cook spaghetti in well-salted water until just shy of al dente. Reserve pasta water.</t>
        </is>
      </c>
      <c r="E13">
        <f>IF($A13="","",COUNTIF($A$2:$A13,$A13))</f>
        <v/>
      </c>
      <c r="F13">
        <f>IF($A13="","",$A13&amp;"|"&amp;$E13)</f>
        <v/>
      </c>
    </row>
    <row r="14">
      <c r="A14" t="inlineStr">
        <is>
          <t>Spaghetti Carbonara</t>
        </is>
      </c>
      <c r="B14" t="inlineStr">
        <is>
          <t>Mix base</t>
        </is>
      </c>
      <c r="C14" t="inlineStr">
        <is>
          <t>3 min</t>
        </is>
      </c>
      <c r="D14" t="inlineStr">
        <is>
          <t>Whisk eggs with grated parmesan and cracked black pepper into a paste.</t>
        </is>
      </c>
      <c r="E14">
        <f>IF($A14="","",COUNTIF($A$2:$A14,$A14))</f>
        <v/>
      </c>
      <c r="F14">
        <f>IF($A14="","",$A14&amp;"|"&amp;$E14)</f>
        <v/>
      </c>
    </row>
    <row r="15">
      <c r="A15" t="inlineStr">
        <is>
          <t>Spaghetti Carbonara</t>
        </is>
      </c>
      <c r="B15" t="inlineStr">
        <is>
          <t>Combine</t>
        </is>
      </c>
      <c r="C15" t="inlineStr">
        <is>
          <t>2 min</t>
        </is>
      </c>
      <c r="D15" t="inlineStr">
        <is>
          <t>Off heat, toss hot pasta with the egg mix, loosening with pasta water to a glossy sauce.</t>
        </is>
      </c>
      <c r="E15">
        <f>IF($A15="","",COUNTIF($A$2:$A15,$A15))</f>
        <v/>
      </c>
      <c r="F15">
        <f>IF($A15="","",$A15&amp;"|"&amp;$E15)</f>
        <v/>
      </c>
    </row>
    <row r="16">
      <c r="A16" t="inlineStr">
        <is>
          <t>Spaghetti Carbonara</t>
        </is>
      </c>
      <c r="B16" t="inlineStr">
        <is>
          <t>Finish</t>
        </is>
      </c>
      <c r="C16" t="inlineStr">
        <is>
          <t>1 min</t>
        </is>
      </c>
      <c r="D16" t="inlineStr">
        <is>
          <t>Adjust with more pasta water and pepper. Plate immediately; do not let it set.</t>
        </is>
      </c>
      <c r="E16">
        <f>IF($A16="","",COUNTIF($A$2:$A16,$A16))</f>
        <v/>
      </c>
      <c r="F16">
        <f>IF($A16="","",$A16&amp;"|"&amp;$E16)</f>
        <v/>
      </c>
    </row>
    <row r="17">
      <c r="A17" t="inlineStr">
        <is>
          <t>Classic Smash Burger</t>
        </is>
      </c>
      <c r="B17" t="inlineStr">
        <is>
          <t>Smash</t>
        </is>
      </c>
      <c r="C17" t="inlineStr">
        <is>
          <t>2 min</t>
        </is>
      </c>
      <c r="D17" t="inlineStr">
        <is>
          <t>Smash beef ball on hot flat-top, season hard with salt.</t>
        </is>
      </c>
      <c r="E17">
        <f>IF($A17="","",COUNTIF($A$2:$A17,$A17))</f>
        <v/>
      </c>
      <c r="F17">
        <f>IF($A17="","",$A17&amp;"|"&amp;$E17)</f>
        <v/>
      </c>
    </row>
    <row r="18">
      <c r="A18" t="inlineStr">
        <is>
          <t>Classic Smash Burger</t>
        </is>
      </c>
      <c r="B18" t="inlineStr">
        <is>
          <t>Flip &amp; cheese</t>
        </is>
      </c>
      <c r="C18" t="inlineStr">
        <is>
          <t>2 min</t>
        </is>
      </c>
      <c r="D18" t="inlineStr">
        <is>
          <t>Flip once crusted, add cheese, melt with griddle onions alongside.</t>
        </is>
      </c>
      <c r="E18">
        <f>IF($A18="","",COUNTIF($A$2:$A18,$A18))</f>
        <v/>
      </c>
      <c r="F18">
        <f>IF($A18="","",$A18&amp;"|"&amp;$E18)</f>
        <v/>
      </c>
    </row>
    <row r="19">
      <c r="A19" t="inlineStr">
        <is>
          <t>Classic Smash Burger</t>
        </is>
      </c>
      <c r="B19" t="inlineStr">
        <is>
          <t>Build</t>
        </is>
      </c>
      <c r="C19" t="inlineStr">
        <is>
          <t>1 min</t>
        </is>
      </c>
      <c r="D19" t="inlineStr">
        <is>
          <t>Toast bun, stack patty + onions, serve hot.</t>
        </is>
      </c>
      <c r="E19">
        <f>IF($A19="","",COUNTIF($A$2:$A19,$A19))</f>
        <v/>
      </c>
      <c r="F19">
        <f>IF($A19="","",$A19&amp;"|"&amp;$E19)</f>
        <v/>
      </c>
    </row>
    <row r="20">
      <c r="A20" t="inlineStr">
        <is>
          <t>Pan-Seared Salmon</t>
        </is>
      </c>
      <c r="B20" t="inlineStr">
        <is>
          <t>Season</t>
        </is>
      </c>
      <c r="C20" t="inlineStr">
        <is>
          <t>1 min</t>
        </is>
      </c>
      <c r="D20" t="inlineStr">
        <is>
          <t>Pat salmon dry, season both sides.</t>
        </is>
      </c>
      <c r="E20">
        <f>IF($A20="","",COUNTIF($A$2:$A20,$A20))</f>
        <v/>
      </c>
      <c r="F20">
        <f>IF($A20="","",$A20&amp;"|"&amp;$E20)</f>
        <v/>
      </c>
    </row>
    <row r="21">
      <c r="A21" t="inlineStr">
        <is>
          <t>Pan-Seared Salmon</t>
        </is>
      </c>
      <c r="B21" t="inlineStr">
        <is>
          <t>Sear</t>
        </is>
      </c>
      <c r="C21" t="inlineStr">
        <is>
          <t>5 min</t>
        </is>
      </c>
      <c r="D21" t="inlineStr">
        <is>
          <t>Sear skin-side down in olive oil until skin is crisp and releases.</t>
        </is>
      </c>
      <c r="E21">
        <f>IF($A21="","",COUNTIF($A$2:$A21,$A21))</f>
        <v/>
      </c>
      <c r="F21">
        <f>IF($A21="","",$A21&amp;"|"&amp;$E21)</f>
        <v/>
      </c>
    </row>
    <row r="22">
      <c r="A22" t="inlineStr">
        <is>
          <t>Pan-Seared Salmon</t>
        </is>
      </c>
      <c r="B22" t="inlineStr">
        <is>
          <t>Baste</t>
        </is>
      </c>
      <c r="C22" t="inlineStr">
        <is>
          <t>3 min</t>
        </is>
      </c>
      <c r="D22" t="inlineStr">
        <is>
          <t>Flip, add butter, baste until just cooked. Finish with lemon.</t>
        </is>
      </c>
      <c r="E22">
        <f>IF($A22="","",COUNTIF($A$2:$A22,$A22))</f>
        <v/>
      </c>
      <c r="F22">
        <f>IF($A22="","",$A22&amp;"|"&amp;$E22)</f>
        <v/>
      </c>
    </row>
    <row r="23">
      <c r="A23" t="inlineStr">
        <is>
          <t>Caesar Salad</t>
        </is>
      </c>
      <c r="B23" t="inlineStr">
        <is>
          <t>Dress</t>
        </is>
      </c>
      <c r="C23" t="inlineStr">
        <is>
          <t>2 min</t>
        </is>
      </c>
      <c r="D23" t="inlineStr">
        <is>
          <t>Toss romaine with dressing and olive oil until evenly coated.</t>
        </is>
      </c>
      <c r="E23">
        <f>IF($A23="","",COUNTIF($A$2:$A23,$A23))</f>
        <v/>
      </c>
      <c r="F23">
        <f>IF($A23="","",$A23&amp;"|"&amp;$E23)</f>
        <v/>
      </c>
    </row>
    <row r="24">
      <c r="A24" t="inlineStr">
        <is>
          <t>Caesar Salad</t>
        </is>
      </c>
      <c r="B24" t="inlineStr">
        <is>
          <t>Finish</t>
        </is>
      </c>
      <c r="C24" t="inlineStr">
        <is>
          <t>2 min</t>
        </is>
      </c>
      <c r="D24" t="inlineStr">
        <is>
          <t>Add parmesan and lemon, toss, top with croutons. Serve cold.</t>
        </is>
      </c>
      <c r="E24">
        <f>IF($A24="","",COUNTIF($A$2:$A24,$A24))</f>
        <v/>
      </c>
      <c r="F24">
        <f>IF($A24="","",$A24&amp;"|"&amp;$E24)</f>
        <v/>
      </c>
    </row>
    <row r="25">
      <c r="E25">
        <f>IF($A25="","",COUNTIF($A$2:$A25,$A25))</f>
        <v/>
      </c>
      <c r="F25">
        <f>IF($A25="","",$A25&amp;"|"&amp;$E25)</f>
        <v/>
      </c>
    </row>
    <row r="26">
      <c r="E26">
        <f>IF($A26="","",COUNTIF($A$2:$A26,$A26))</f>
        <v/>
      </c>
      <c r="F26">
        <f>IF($A26="","",$A26&amp;"|"&amp;$E26)</f>
        <v/>
      </c>
    </row>
    <row r="27">
      <c r="E27">
        <f>IF($A27="","",COUNTIF($A$2:$A27,$A27))</f>
        <v/>
      </c>
      <c r="F27">
        <f>IF($A27="","",$A27&amp;"|"&amp;$E27)</f>
        <v/>
      </c>
    </row>
    <row r="28">
      <c r="E28">
        <f>IF($A28="","",COUNTIF($A$2:$A28,$A28))</f>
        <v/>
      </c>
      <c r="F28">
        <f>IF($A28="","",$A28&amp;"|"&amp;$E28)</f>
        <v/>
      </c>
    </row>
    <row r="29">
      <c r="E29">
        <f>IF($A29="","",COUNTIF($A$2:$A29,$A29))</f>
        <v/>
      </c>
      <c r="F29">
        <f>IF($A29="","",$A29&amp;"|"&amp;$E29)</f>
        <v/>
      </c>
    </row>
    <row r="30">
      <c r="E30">
        <f>IF($A30="","",COUNTIF($A$2:$A30,$A30))</f>
        <v/>
      </c>
      <c r="F30">
        <f>IF($A30="","",$A30&amp;"|"&amp;$E30)</f>
        <v/>
      </c>
    </row>
    <row r="31">
      <c r="E31">
        <f>IF($A31="","",COUNTIF($A$2:$A31,$A31))</f>
        <v/>
      </c>
      <c r="F31">
        <f>IF($A31="","",$A31&amp;"|"&amp;$E31)</f>
        <v/>
      </c>
    </row>
    <row r="32">
      <c r="E32">
        <f>IF($A32="","",COUNTIF($A$2:$A32,$A32))</f>
        <v/>
      </c>
      <c r="F32">
        <f>IF($A32="","",$A32&amp;"|"&amp;$E32)</f>
        <v/>
      </c>
    </row>
    <row r="33">
      <c r="E33">
        <f>IF($A33="","",COUNTIF($A$2:$A33,$A33))</f>
        <v/>
      </c>
      <c r="F33">
        <f>IF($A33="","",$A33&amp;"|"&amp;$E33)</f>
        <v/>
      </c>
    </row>
    <row r="34">
      <c r="E34">
        <f>IF($A34="","",COUNTIF($A$2:$A34,$A34))</f>
        <v/>
      </c>
      <c r="F34">
        <f>IF($A34="","",$A34&amp;"|"&amp;$E34)</f>
        <v/>
      </c>
    </row>
    <row r="35">
      <c r="E35">
        <f>IF($A35="","",COUNTIF($A$2:$A35,$A35))</f>
        <v/>
      </c>
      <c r="F35">
        <f>IF($A35="","",$A35&amp;"|"&amp;$E35)</f>
        <v/>
      </c>
    </row>
    <row r="36">
      <c r="E36">
        <f>IF($A36="","",COUNTIF($A$2:$A36,$A36))</f>
        <v/>
      </c>
      <c r="F36">
        <f>IF($A36="","",$A36&amp;"|"&amp;$E36)</f>
        <v/>
      </c>
    </row>
    <row r="37">
      <c r="E37">
        <f>IF($A37="","",COUNTIF($A$2:$A37,$A37))</f>
        <v/>
      </c>
      <c r="F37">
        <f>IF($A37="","",$A37&amp;"|"&amp;$E37)</f>
        <v/>
      </c>
    </row>
    <row r="38">
      <c r="E38">
        <f>IF($A38="","",COUNTIF($A$2:$A38,$A38))</f>
        <v/>
      </c>
      <c r="F38">
        <f>IF($A38="","",$A38&amp;"|"&amp;$E38)</f>
        <v/>
      </c>
    </row>
    <row r="39">
      <c r="E39">
        <f>IF($A39="","",COUNTIF($A$2:$A39,$A39))</f>
        <v/>
      </c>
      <c r="F39">
        <f>IF($A39="","",$A39&amp;"|"&amp;$E39)</f>
        <v/>
      </c>
    </row>
    <row r="40">
      <c r="E40">
        <f>IF($A40="","",COUNTIF($A$2:$A40,$A40))</f>
        <v/>
      </c>
      <c r="F40">
        <f>IF($A40="","",$A40&amp;"|"&amp;$E40)</f>
        <v/>
      </c>
    </row>
    <row r="41">
      <c r="E41">
        <f>IF($A41="","",COUNTIF($A$2:$A41,$A41))</f>
        <v/>
      </c>
      <c r="F41">
        <f>IF($A41="","",$A41&amp;"|"&amp;$E41)</f>
        <v/>
      </c>
    </row>
    <row r="42">
      <c r="E42">
        <f>IF($A42="","",COUNTIF($A$2:$A42,$A42))</f>
        <v/>
      </c>
      <c r="F42">
        <f>IF($A42="","",$A42&amp;"|"&amp;$E42)</f>
        <v/>
      </c>
    </row>
    <row r="43">
      <c r="E43">
        <f>IF($A43="","",COUNTIF($A$2:$A43,$A43))</f>
        <v/>
      </c>
      <c r="F43">
        <f>IF($A43="","",$A43&amp;"|"&amp;$E43)</f>
        <v/>
      </c>
    </row>
    <row r="44">
      <c r="E44">
        <f>IF($A44="","",COUNTIF($A$2:$A44,$A44))</f>
        <v/>
      </c>
      <c r="F44">
        <f>IF($A44="","",$A44&amp;"|"&amp;$E44)</f>
        <v/>
      </c>
    </row>
    <row r="45">
      <c r="E45">
        <f>IF($A45="","",COUNTIF($A$2:$A45,$A45))</f>
        <v/>
      </c>
      <c r="F45">
        <f>IF($A45="","",$A45&amp;"|"&amp;$E45)</f>
        <v/>
      </c>
    </row>
    <row r="46">
      <c r="E46">
        <f>IF($A46="","",COUNTIF($A$2:$A46,$A46))</f>
        <v/>
      </c>
      <c r="F46">
        <f>IF($A46="","",$A46&amp;"|"&amp;$E46)</f>
        <v/>
      </c>
    </row>
    <row r="47">
      <c r="E47">
        <f>IF($A47="","",COUNTIF($A$2:$A47,$A47))</f>
        <v/>
      </c>
      <c r="F47">
        <f>IF($A47="","",$A47&amp;"|"&amp;$E47)</f>
        <v/>
      </c>
    </row>
    <row r="48">
      <c r="E48">
        <f>IF($A48="","",COUNTIF($A$2:$A48,$A48))</f>
        <v/>
      </c>
      <c r="F48">
        <f>IF($A48="","",$A48&amp;"|"&amp;$E48)</f>
        <v/>
      </c>
    </row>
    <row r="49">
      <c r="E49">
        <f>IF($A49="","",COUNTIF($A$2:$A49,$A49))</f>
        <v/>
      </c>
      <c r="F49">
        <f>IF($A49="","",$A49&amp;"|"&amp;$E49)</f>
        <v/>
      </c>
    </row>
    <row r="50">
      <c r="E50">
        <f>IF($A50="","",COUNTIF($A$2:$A50,$A50))</f>
        <v/>
      </c>
      <c r="F50">
        <f>IF($A50="","",$A50&amp;"|"&amp;$E50)</f>
        <v/>
      </c>
    </row>
    <row r="51">
      <c r="E51">
        <f>IF($A51="","",COUNTIF($A$2:$A51,$A51))</f>
        <v/>
      </c>
      <c r="F51">
        <f>IF($A51="","",$A51&amp;"|"&amp;$E51)</f>
        <v/>
      </c>
    </row>
    <row r="52">
      <c r="E52">
        <f>IF($A52="","",COUNTIF($A$2:$A52,$A52))</f>
        <v/>
      </c>
      <c r="F52">
        <f>IF($A52="","",$A52&amp;"|"&amp;$E52)</f>
        <v/>
      </c>
    </row>
    <row r="53">
      <c r="E53">
        <f>IF($A53="","",COUNTIF($A$2:$A53,$A53))</f>
        <v/>
      </c>
      <c r="F53">
        <f>IF($A53="","",$A53&amp;"|"&amp;$E53)</f>
        <v/>
      </c>
    </row>
    <row r="54">
      <c r="E54">
        <f>IF($A54="","",COUNTIF($A$2:$A54,$A54))</f>
        <v/>
      </c>
      <c r="F54">
        <f>IF($A54="","",$A54&amp;"|"&amp;$E54)</f>
        <v/>
      </c>
    </row>
    <row r="55">
      <c r="E55">
        <f>IF($A55="","",COUNTIF($A$2:$A55,$A55))</f>
        <v/>
      </c>
      <c r="F55">
        <f>IF($A55="","",$A55&amp;"|"&amp;$E55)</f>
        <v/>
      </c>
    </row>
    <row r="56">
      <c r="E56">
        <f>IF($A56="","",COUNTIF($A$2:$A56,$A56))</f>
        <v/>
      </c>
      <c r="F56">
        <f>IF($A56="","",$A56&amp;"|"&amp;$E56)</f>
        <v/>
      </c>
    </row>
    <row r="57">
      <c r="E57">
        <f>IF($A57="","",COUNTIF($A$2:$A57,$A57))</f>
        <v/>
      </c>
      <c r="F57">
        <f>IF($A57="","",$A57&amp;"|"&amp;$E57)</f>
        <v/>
      </c>
    </row>
    <row r="58">
      <c r="E58">
        <f>IF($A58="","",COUNTIF($A$2:$A58,$A58))</f>
        <v/>
      </c>
      <c r="F58">
        <f>IF($A58="","",$A58&amp;"|"&amp;$E58)</f>
        <v/>
      </c>
    </row>
    <row r="59">
      <c r="E59">
        <f>IF($A59="","",COUNTIF($A$2:$A59,$A59))</f>
        <v/>
      </c>
      <c r="F59">
        <f>IF($A59="","",$A59&amp;"|"&amp;$E59)</f>
        <v/>
      </c>
    </row>
    <row r="60">
      <c r="E60">
        <f>IF($A60="","",COUNTIF($A$2:$A60,$A60))</f>
        <v/>
      </c>
      <c r="F60">
        <f>IF($A60="","",$A60&amp;"|"&amp;$E60)</f>
        <v/>
      </c>
    </row>
    <row r="61">
      <c r="E61">
        <f>IF($A61="","",COUNTIF($A$2:$A61,$A61))</f>
        <v/>
      </c>
      <c r="F61">
        <f>IF($A61="","",$A61&amp;"|"&amp;$E61)</f>
        <v/>
      </c>
    </row>
    <row r="62">
      <c r="E62">
        <f>IF($A62="","",COUNTIF($A$2:$A62,$A62))</f>
        <v/>
      </c>
      <c r="F62">
        <f>IF($A62="","",$A62&amp;"|"&amp;$E62)</f>
        <v/>
      </c>
    </row>
    <row r="63">
      <c r="E63">
        <f>IF($A63="","",COUNTIF($A$2:$A63,$A63))</f>
        <v/>
      </c>
      <c r="F63">
        <f>IF($A63="","",$A63&amp;"|"&amp;$E63)</f>
        <v/>
      </c>
    </row>
    <row r="64">
      <c r="E64">
        <f>IF($A64="","",COUNTIF($A$2:$A64,$A64))</f>
        <v/>
      </c>
      <c r="F64">
        <f>IF($A64="","",$A64&amp;"|"&amp;$E64)</f>
        <v/>
      </c>
    </row>
    <row r="65">
      <c r="E65">
        <f>IF($A65="","",COUNTIF($A$2:$A65,$A65))</f>
        <v/>
      </c>
      <c r="F65">
        <f>IF($A65="","",$A65&amp;"|"&amp;$E65)</f>
        <v/>
      </c>
    </row>
    <row r="66">
      <c r="E66">
        <f>IF($A66="","",COUNTIF($A$2:$A66,$A66))</f>
        <v/>
      </c>
      <c r="F66">
        <f>IF($A66="","",$A66&amp;"|"&amp;$E66)</f>
        <v/>
      </c>
    </row>
    <row r="67">
      <c r="E67">
        <f>IF($A67="","",COUNTIF($A$2:$A67,$A67))</f>
        <v/>
      </c>
      <c r="F67">
        <f>IF($A67="","",$A67&amp;"|"&amp;$E67)</f>
        <v/>
      </c>
    </row>
    <row r="68">
      <c r="E68">
        <f>IF($A68="","",COUNTIF($A$2:$A68,$A68))</f>
        <v/>
      </c>
      <c r="F68">
        <f>IF($A68="","",$A68&amp;"|"&amp;$E68)</f>
        <v/>
      </c>
    </row>
    <row r="69">
      <c r="E69">
        <f>IF($A69="","",COUNTIF($A$2:$A69,$A69))</f>
        <v/>
      </c>
      <c r="F69">
        <f>IF($A69="","",$A69&amp;"|"&amp;$E69)</f>
        <v/>
      </c>
    </row>
    <row r="70">
      <c r="E70">
        <f>IF($A70="","",COUNTIF($A$2:$A70,$A70))</f>
        <v/>
      </c>
      <c r="F70">
        <f>IF($A70="","",$A70&amp;"|"&amp;$E70)</f>
        <v/>
      </c>
    </row>
    <row r="71">
      <c r="E71">
        <f>IF($A71="","",COUNTIF($A$2:$A71,$A71))</f>
        <v/>
      </c>
      <c r="F71">
        <f>IF($A71="","",$A71&amp;"|"&amp;$E71)</f>
        <v/>
      </c>
    </row>
    <row r="72">
      <c r="E72">
        <f>IF($A72="","",COUNTIF($A$2:$A72,$A72))</f>
        <v/>
      </c>
      <c r="F72">
        <f>IF($A72="","",$A72&amp;"|"&amp;$E72)</f>
        <v/>
      </c>
    </row>
    <row r="73">
      <c r="E73">
        <f>IF($A73="","",COUNTIF($A$2:$A73,$A73))</f>
        <v/>
      </c>
      <c r="F73">
        <f>IF($A73="","",$A73&amp;"|"&amp;$E73)</f>
        <v/>
      </c>
    </row>
    <row r="74">
      <c r="E74">
        <f>IF($A74="","",COUNTIF($A$2:$A74,$A74))</f>
        <v/>
      </c>
      <c r="F74">
        <f>IF($A74="","",$A74&amp;"|"&amp;$E74)</f>
        <v/>
      </c>
    </row>
    <row r="75">
      <c r="E75">
        <f>IF($A75="","",COUNTIF($A$2:$A75,$A75))</f>
        <v/>
      </c>
      <c r="F75">
        <f>IF($A75="","",$A75&amp;"|"&amp;$E75)</f>
        <v/>
      </c>
    </row>
    <row r="76">
      <c r="E76">
        <f>IF($A76="","",COUNTIF($A$2:$A76,$A76))</f>
        <v/>
      </c>
      <c r="F76">
        <f>IF($A76="","",$A76&amp;"|"&amp;$E76)</f>
        <v/>
      </c>
    </row>
    <row r="77">
      <c r="E77">
        <f>IF($A77="","",COUNTIF($A$2:$A77,$A77))</f>
        <v/>
      </c>
      <c r="F77">
        <f>IF($A77="","",$A77&amp;"|"&amp;$E77)</f>
        <v/>
      </c>
    </row>
    <row r="78">
      <c r="E78">
        <f>IF($A78="","",COUNTIF($A$2:$A78,$A78))</f>
        <v/>
      </c>
      <c r="F78">
        <f>IF($A78="","",$A78&amp;"|"&amp;$E78)</f>
        <v/>
      </c>
    </row>
    <row r="79">
      <c r="E79">
        <f>IF($A79="","",COUNTIF($A$2:$A79,$A79))</f>
        <v/>
      </c>
      <c r="F79">
        <f>IF($A79="","",$A79&amp;"|"&amp;$E79)</f>
        <v/>
      </c>
    </row>
    <row r="80">
      <c r="E80">
        <f>IF($A80="","",COUNTIF($A$2:$A80,$A80))</f>
        <v/>
      </c>
      <c r="F80">
        <f>IF($A80="","",$A80&amp;"|"&amp;$E80)</f>
        <v/>
      </c>
    </row>
    <row r="81">
      <c r="E81">
        <f>IF($A81="","",COUNTIF($A$2:$A81,$A81))</f>
        <v/>
      </c>
      <c r="F81">
        <f>IF($A81="","",$A81&amp;"|"&amp;$E81)</f>
        <v/>
      </c>
    </row>
    <row r="82">
      <c r="E82">
        <f>IF($A82="","",COUNTIF($A$2:$A82,$A82))</f>
        <v/>
      </c>
      <c r="F82">
        <f>IF($A82="","",$A82&amp;"|"&amp;$E82)</f>
        <v/>
      </c>
    </row>
    <row r="83">
      <c r="E83">
        <f>IF($A83="","",COUNTIF($A$2:$A83,$A83))</f>
        <v/>
      </c>
      <c r="F83">
        <f>IF($A83="","",$A83&amp;"|"&amp;$E83)</f>
        <v/>
      </c>
    </row>
    <row r="84">
      <c r="E84">
        <f>IF($A84="","",COUNTIF($A$2:$A84,$A84))</f>
        <v/>
      </c>
      <c r="F84">
        <f>IF($A84="","",$A84&amp;"|"&amp;$E84)</f>
        <v/>
      </c>
    </row>
    <row r="85">
      <c r="E85">
        <f>IF($A85="","",COUNTIF($A$2:$A85,$A85))</f>
        <v/>
      </c>
      <c r="F85">
        <f>IF($A85="","",$A85&amp;"|"&amp;$E85)</f>
        <v/>
      </c>
    </row>
    <row r="86">
      <c r="E86">
        <f>IF($A86="","",COUNTIF($A$2:$A86,$A86))</f>
        <v/>
      </c>
      <c r="F86">
        <f>IF($A86="","",$A86&amp;"|"&amp;$E86)</f>
        <v/>
      </c>
    </row>
    <row r="87">
      <c r="E87">
        <f>IF($A87="","",COUNTIF($A$2:$A87,$A87))</f>
        <v/>
      </c>
      <c r="F87">
        <f>IF($A87="","",$A87&amp;"|"&amp;$E87)</f>
        <v/>
      </c>
    </row>
    <row r="88">
      <c r="E88">
        <f>IF($A88="","",COUNTIF($A$2:$A88,$A88))</f>
        <v/>
      </c>
      <c r="F88">
        <f>IF($A88="","",$A88&amp;"|"&amp;$E88)</f>
        <v/>
      </c>
    </row>
    <row r="89">
      <c r="E89">
        <f>IF($A89="","",COUNTIF($A$2:$A89,$A89))</f>
        <v/>
      </c>
      <c r="F89">
        <f>IF($A89="","",$A89&amp;"|"&amp;$E89)</f>
        <v/>
      </c>
    </row>
    <row r="90">
      <c r="E90">
        <f>IF($A90="","",COUNTIF($A$2:$A90,$A90))</f>
        <v/>
      </c>
      <c r="F90">
        <f>IF($A90="","",$A90&amp;"|"&amp;$E90)</f>
        <v/>
      </c>
    </row>
    <row r="91">
      <c r="E91">
        <f>IF($A91="","",COUNTIF($A$2:$A91,$A91))</f>
        <v/>
      </c>
      <c r="F91">
        <f>IF($A91="","",$A91&amp;"|"&amp;$E91)</f>
        <v/>
      </c>
    </row>
    <row r="92">
      <c r="E92">
        <f>IF($A92="","",COUNTIF($A$2:$A92,$A92))</f>
        <v/>
      </c>
      <c r="F92">
        <f>IF($A92="","",$A92&amp;"|"&amp;$E92)</f>
        <v/>
      </c>
    </row>
    <row r="93">
      <c r="E93">
        <f>IF($A93="","",COUNTIF($A$2:$A93,$A93))</f>
        <v/>
      </c>
      <c r="F93">
        <f>IF($A93="","",$A93&amp;"|"&amp;$E93)</f>
        <v/>
      </c>
    </row>
    <row r="94">
      <c r="E94">
        <f>IF($A94="","",COUNTIF($A$2:$A94,$A94))</f>
        <v/>
      </c>
      <c r="F94">
        <f>IF($A94="","",$A94&amp;"|"&amp;$E94)</f>
        <v/>
      </c>
    </row>
    <row r="95">
      <c r="E95">
        <f>IF($A95="","",COUNTIF($A$2:$A95,$A95))</f>
        <v/>
      </c>
      <c r="F95">
        <f>IF($A95="","",$A95&amp;"|"&amp;$E95)</f>
        <v/>
      </c>
    </row>
    <row r="96">
      <c r="E96">
        <f>IF($A96="","",COUNTIF($A$2:$A96,$A96))</f>
        <v/>
      </c>
      <c r="F96">
        <f>IF($A96="","",$A96&amp;"|"&amp;$E96)</f>
        <v/>
      </c>
    </row>
    <row r="97">
      <c r="E97">
        <f>IF($A97="","",COUNTIF($A$2:$A97,$A97))</f>
        <v/>
      </c>
      <c r="F97">
        <f>IF($A97="","",$A97&amp;"|"&amp;$E97)</f>
        <v/>
      </c>
    </row>
    <row r="98">
      <c r="E98">
        <f>IF($A98="","",COUNTIF($A$2:$A98,$A98))</f>
        <v/>
      </c>
      <c r="F98">
        <f>IF($A98="","",$A98&amp;"|"&amp;$E98)</f>
        <v/>
      </c>
    </row>
    <row r="99">
      <c r="E99">
        <f>IF($A99="","",COUNTIF($A$2:$A99,$A99))</f>
        <v/>
      </c>
      <c r="F99">
        <f>IF($A99="","",$A99&amp;"|"&amp;$E99)</f>
        <v/>
      </c>
    </row>
    <row r="100">
      <c r="E100">
        <f>IF($A100="","",COUNTIF($A$2:$A100,$A100))</f>
        <v/>
      </c>
      <c r="F100">
        <f>IF($A100="","",$A100&amp;"|"&amp;$E100)</f>
        <v/>
      </c>
    </row>
    <row r="101">
      <c r="E101">
        <f>IF($A101="","",COUNTIF($A$2:$A101,$A101))</f>
        <v/>
      </c>
      <c r="F101">
        <f>IF($A101="","",$A101&amp;"|"&amp;$E101)</f>
        <v/>
      </c>
    </row>
    <row r="102">
      <c r="E102">
        <f>IF($A102="","",COUNTIF($A$2:$A102,$A102))</f>
        <v/>
      </c>
      <c r="F102">
        <f>IF($A102="","",$A102&amp;"|"&amp;$E102)</f>
        <v/>
      </c>
    </row>
    <row r="103">
      <c r="E103">
        <f>IF($A103="","",COUNTIF($A$2:$A103,$A103))</f>
        <v/>
      </c>
      <c r="F103">
        <f>IF($A103="","",$A103&amp;"|"&amp;$E103)</f>
        <v/>
      </c>
    </row>
    <row r="104">
      <c r="E104">
        <f>IF($A104="","",COUNTIF($A$2:$A104,$A104))</f>
        <v/>
      </c>
      <c r="F104">
        <f>IF($A104="","",$A104&amp;"|"&amp;$E104)</f>
        <v/>
      </c>
    </row>
    <row r="105">
      <c r="E105">
        <f>IF($A105="","",COUNTIF($A$2:$A105,$A105))</f>
        <v/>
      </c>
      <c r="F105">
        <f>IF($A105="","",$A105&amp;"|"&amp;$E105)</f>
        <v/>
      </c>
    </row>
    <row r="106">
      <c r="E106">
        <f>IF($A106="","",COUNTIF($A$2:$A106,$A106))</f>
        <v/>
      </c>
      <c r="F106">
        <f>IF($A106="","",$A106&amp;"|"&amp;$E106)</f>
        <v/>
      </c>
    </row>
    <row r="107">
      <c r="E107">
        <f>IF($A107="","",COUNTIF($A$2:$A107,$A107))</f>
        <v/>
      </c>
      <c r="F107">
        <f>IF($A107="","",$A107&amp;"|"&amp;$E107)</f>
        <v/>
      </c>
    </row>
    <row r="108">
      <c r="E108">
        <f>IF($A108="","",COUNTIF($A$2:$A108,$A108))</f>
        <v/>
      </c>
      <c r="F108">
        <f>IF($A108="","",$A108&amp;"|"&amp;$E108)</f>
        <v/>
      </c>
    </row>
    <row r="109">
      <c r="E109">
        <f>IF($A109="","",COUNTIF($A$2:$A109,$A109))</f>
        <v/>
      </c>
      <c r="F109">
        <f>IF($A109="","",$A109&amp;"|"&amp;$E109)</f>
        <v/>
      </c>
    </row>
    <row r="110">
      <c r="E110">
        <f>IF($A110="","",COUNTIF($A$2:$A110,$A110))</f>
        <v/>
      </c>
      <c r="F110">
        <f>IF($A110="","",$A110&amp;"|"&amp;$E110)</f>
        <v/>
      </c>
    </row>
    <row r="111">
      <c r="E111">
        <f>IF($A111="","",COUNTIF($A$2:$A111,$A111))</f>
        <v/>
      </c>
      <c r="F111">
        <f>IF($A111="","",$A111&amp;"|"&amp;$E111)</f>
        <v/>
      </c>
    </row>
    <row r="112">
      <c r="E112">
        <f>IF($A112="","",COUNTIF($A$2:$A112,$A112))</f>
        <v/>
      </c>
      <c r="F112">
        <f>IF($A112="","",$A112&amp;"|"&amp;$E112)</f>
        <v/>
      </c>
    </row>
    <row r="113">
      <c r="E113">
        <f>IF($A113="","",COUNTIF($A$2:$A113,$A113))</f>
        <v/>
      </c>
      <c r="F113">
        <f>IF($A113="","",$A113&amp;"|"&amp;$E113)</f>
        <v/>
      </c>
    </row>
    <row r="114">
      <c r="E114">
        <f>IF($A114="","",COUNTIF($A$2:$A114,$A114))</f>
        <v/>
      </c>
      <c r="F114">
        <f>IF($A114="","",$A114&amp;"|"&amp;$E114)</f>
        <v/>
      </c>
    </row>
    <row r="115">
      <c r="E115">
        <f>IF($A115="","",COUNTIF($A$2:$A115,$A115))</f>
        <v/>
      </c>
      <c r="F115">
        <f>IF($A115="","",$A115&amp;"|"&amp;$E115)</f>
        <v/>
      </c>
    </row>
    <row r="116">
      <c r="E116">
        <f>IF($A116="","",COUNTIF($A$2:$A116,$A116))</f>
        <v/>
      </c>
      <c r="F116">
        <f>IF($A116="","",$A116&amp;"|"&amp;$E116)</f>
        <v/>
      </c>
    </row>
    <row r="117">
      <c r="E117">
        <f>IF($A117="","",COUNTIF($A$2:$A117,$A117))</f>
        <v/>
      </c>
      <c r="F117">
        <f>IF($A117="","",$A117&amp;"|"&amp;$E117)</f>
        <v/>
      </c>
    </row>
    <row r="118">
      <c r="E118">
        <f>IF($A118="","",COUNTIF($A$2:$A118,$A118))</f>
        <v/>
      </c>
      <c r="F118">
        <f>IF($A118="","",$A118&amp;"|"&amp;$E118)</f>
        <v/>
      </c>
    </row>
    <row r="119">
      <c r="E119">
        <f>IF($A119="","",COUNTIF($A$2:$A119,$A119))</f>
        <v/>
      </c>
      <c r="F119">
        <f>IF($A119="","",$A119&amp;"|"&amp;$E119)</f>
        <v/>
      </c>
    </row>
    <row r="120">
      <c r="E120">
        <f>IF($A120="","",COUNTIF($A$2:$A120,$A120))</f>
        <v/>
      </c>
      <c r="F120">
        <f>IF($A120="","",$A120&amp;"|"&amp;$E120)</f>
        <v/>
      </c>
    </row>
    <row r="121">
      <c r="E121">
        <f>IF($A121="","",COUNTIF($A$2:$A121,$A121))</f>
        <v/>
      </c>
      <c r="F121">
        <f>IF($A121="","",$A121&amp;"|"&amp;$E121)</f>
        <v/>
      </c>
    </row>
    <row r="122">
      <c r="E122">
        <f>IF($A122="","",COUNTIF($A$2:$A122,$A122))</f>
        <v/>
      </c>
      <c r="F122">
        <f>IF($A122="","",$A122&amp;"|"&amp;$E122)</f>
        <v/>
      </c>
    </row>
    <row r="123">
      <c r="E123">
        <f>IF($A123="","",COUNTIF($A$2:$A123,$A123))</f>
        <v/>
      </c>
      <c r="F123">
        <f>IF($A123="","",$A123&amp;"|"&amp;$E123)</f>
        <v/>
      </c>
    </row>
    <row r="124">
      <c r="E124">
        <f>IF($A124="","",COUNTIF($A$2:$A124,$A124))</f>
        <v/>
      </c>
      <c r="F124">
        <f>IF($A124="","",$A124&amp;"|"&amp;$E124)</f>
        <v/>
      </c>
    </row>
    <row r="125">
      <c r="E125">
        <f>IF($A125="","",COUNTIF($A$2:$A125,$A125))</f>
        <v/>
      </c>
      <c r="F125">
        <f>IF($A125="","",$A125&amp;"|"&amp;$E125)</f>
        <v/>
      </c>
    </row>
    <row r="126">
      <c r="E126">
        <f>IF($A126="","",COUNTIF($A$2:$A126,$A126))</f>
        <v/>
      </c>
      <c r="F126">
        <f>IF($A126="","",$A126&amp;"|"&amp;$E126)</f>
        <v/>
      </c>
    </row>
    <row r="127">
      <c r="E127">
        <f>IF($A127="","",COUNTIF($A$2:$A127,$A127))</f>
        <v/>
      </c>
      <c r="F127">
        <f>IF($A127="","",$A127&amp;"|"&amp;$E127)</f>
        <v/>
      </c>
    </row>
    <row r="128">
      <c r="E128">
        <f>IF($A128="","",COUNTIF($A$2:$A128,$A128))</f>
        <v/>
      </c>
      <c r="F128">
        <f>IF($A128="","",$A128&amp;"|"&amp;$E128)</f>
        <v/>
      </c>
    </row>
    <row r="129">
      <c r="E129">
        <f>IF($A129="","",COUNTIF($A$2:$A129,$A129))</f>
        <v/>
      </c>
      <c r="F129">
        <f>IF($A129="","",$A129&amp;"|"&amp;$E129)</f>
        <v/>
      </c>
    </row>
    <row r="130">
      <c r="E130">
        <f>IF($A130="","",COUNTIF($A$2:$A130,$A130))</f>
        <v/>
      </c>
      <c r="F130">
        <f>IF($A130="","",$A130&amp;"|"&amp;$E130)</f>
        <v/>
      </c>
    </row>
    <row r="131">
      <c r="E131">
        <f>IF($A131="","",COUNTIF($A$2:$A131,$A131))</f>
        <v/>
      </c>
      <c r="F131">
        <f>IF($A131="","",$A131&amp;"|"&amp;$E131)</f>
        <v/>
      </c>
    </row>
    <row r="132">
      <c r="E132">
        <f>IF($A132="","",COUNTIF($A$2:$A132,$A132))</f>
        <v/>
      </c>
      <c r="F132">
        <f>IF($A132="","",$A132&amp;"|"&amp;$E132)</f>
        <v/>
      </c>
    </row>
    <row r="133">
      <c r="E133">
        <f>IF($A133="","",COUNTIF($A$2:$A133,$A133))</f>
        <v/>
      </c>
      <c r="F133">
        <f>IF($A133="","",$A133&amp;"|"&amp;$E133)</f>
        <v/>
      </c>
    </row>
    <row r="134">
      <c r="E134">
        <f>IF($A134="","",COUNTIF($A$2:$A134,$A134))</f>
        <v/>
      </c>
      <c r="F134">
        <f>IF($A134="","",$A134&amp;"|"&amp;$E134)</f>
        <v/>
      </c>
    </row>
    <row r="135">
      <c r="E135">
        <f>IF($A135="","",COUNTIF($A$2:$A135,$A135))</f>
        <v/>
      </c>
      <c r="F135">
        <f>IF($A135="","",$A135&amp;"|"&amp;$E135)</f>
        <v/>
      </c>
    </row>
    <row r="136">
      <c r="E136">
        <f>IF($A136="","",COUNTIF($A$2:$A136,$A136))</f>
        <v/>
      </c>
      <c r="F136">
        <f>IF($A136="","",$A136&amp;"|"&amp;$E136)</f>
        <v/>
      </c>
    </row>
    <row r="137">
      <c r="E137">
        <f>IF($A137="","",COUNTIF($A$2:$A137,$A137))</f>
        <v/>
      </c>
      <c r="F137">
        <f>IF($A137="","",$A137&amp;"|"&amp;$E137)</f>
        <v/>
      </c>
    </row>
    <row r="138">
      <c r="E138">
        <f>IF($A138="","",COUNTIF($A$2:$A138,$A138))</f>
        <v/>
      </c>
      <c r="F138">
        <f>IF($A138="","",$A138&amp;"|"&amp;$E138)</f>
        <v/>
      </c>
    </row>
    <row r="139">
      <c r="E139">
        <f>IF($A139="","",COUNTIF($A$2:$A139,$A139))</f>
        <v/>
      </c>
      <c r="F139">
        <f>IF($A139="","",$A139&amp;"|"&amp;$E139)</f>
        <v/>
      </c>
    </row>
    <row r="140">
      <c r="E140">
        <f>IF($A140="","",COUNTIF($A$2:$A140,$A140))</f>
        <v/>
      </c>
      <c r="F140">
        <f>IF($A140="","",$A140&amp;"|"&amp;$E140)</f>
        <v/>
      </c>
    </row>
    <row r="141">
      <c r="E141">
        <f>IF($A141="","",COUNTIF($A$2:$A141,$A141))</f>
        <v/>
      </c>
      <c r="F141">
        <f>IF($A141="","",$A141&amp;"|"&amp;$E141)</f>
        <v/>
      </c>
    </row>
    <row r="142">
      <c r="E142">
        <f>IF($A142="","",COUNTIF($A$2:$A142,$A142))</f>
        <v/>
      </c>
      <c r="F142">
        <f>IF($A142="","",$A142&amp;"|"&amp;$E142)</f>
        <v/>
      </c>
    </row>
    <row r="143">
      <c r="E143">
        <f>IF($A143="","",COUNTIF($A$2:$A143,$A143))</f>
        <v/>
      </c>
      <c r="F143">
        <f>IF($A143="","",$A143&amp;"|"&amp;$E143)</f>
        <v/>
      </c>
    </row>
    <row r="144">
      <c r="E144">
        <f>IF($A144="","",COUNTIF($A$2:$A144,$A144))</f>
        <v/>
      </c>
      <c r="F144">
        <f>IF($A144="","",$A144&amp;"|"&amp;$E144)</f>
        <v/>
      </c>
    </row>
    <row r="145">
      <c r="E145">
        <f>IF($A145="","",COUNTIF($A$2:$A145,$A145))</f>
        <v/>
      </c>
      <c r="F145">
        <f>IF($A145="","",$A145&amp;"|"&amp;$E145)</f>
        <v/>
      </c>
    </row>
    <row r="146">
      <c r="E146">
        <f>IF($A146="","",COUNTIF($A$2:$A146,$A146))</f>
        <v/>
      </c>
      <c r="F146">
        <f>IF($A146="","",$A146&amp;"|"&amp;$E146)</f>
        <v/>
      </c>
    </row>
    <row r="147">
      <c r="E147">
        <f>IF($A147="","",COUNTIF($A$2:$A147,$A147))</f>
        <v/>
      </c>
      <c r="F147">
        <f>IF($A147="","",$A147&amp;"|"&amp;$E147)</f>
        <v/>
      </c>
    </row>
    <row r="148">
      <c r="E148">
        <f>IF($A148="","",COUNTIF($A$2:$A148,$A148))</f>
        <v/>
      </c>
      <c r="F148">
        <f>IF($A148="","",$A148&amp;"|"&amp;$E148)</f>
        <v/>
      </c>
    </row>
    <row r="149">
      <c r="E149">
        <f>IF($A149="","",COUNTIF($A$2:$A149,$A149))</f>
        <v/>
      </c>
      <c r="F149">
        <f>IF($A149="","",$A149&amp;"|"&amp;$E149)</f>
        <v/>
      </c>
    </row>
    <row r="150">
      <c r="E150">
        <f>IF($A150="","",COUNTIF($A$2:$A150,$A150))</f>
        <v/>
      </c>
      <c r="F150">
        <f>IF($A150="","",$A150&amp;"|"&amp;$E150)</f>
        <v/>
      </c>
    </row>
    <row r="151">
      <c r="E151">
        <f>IF($A151="","",COUNTIF($A$2:$A151,$A151))</f>
        <v/>
      </c>
      <c r="F151">
        <f>IF($A151="","",$A151&amp;"|"&amp;$E151)</f>
        <v/>
      </c>
    </row>
    <row r="152">
      <c r="E152">
        <f>IF($A152="","",COUNTIF($A$2:$A152,$A152))</f>
        <v/>
      </c>
      <c r="F152">
        <f>IF($A152="","",$A152&amp;"|"&amp;$E152)</f>
        <v/>
      </c>
    </row>
    <row r="153">
      <c r="E153">
        <f>IF($A153="","",COUNTIF($A$2:$A153,$A153))</f>
        <v/>
      </c>
      <c r="F153">
        <f>IF($A153="","",$A153&amp;"|"&amp;$E153)</f>
        <v/>
      </c>
    </row>
    <row r="154">
      <c r="E154">
        <f>IF($A154="","",COUNTIF($A$2:$A154,$A154))</f>
        <v/>
      </c>
      <c r="F154">
        <f>IF($A154="","",$A154&amp;"|"&amp;$E154)</f>
        <v/>
      </c>
    </row>
    <row r="155">
      <c r="E155">
        <f>IF($A155="","",COUNTIF($A$2:$A155,$A155))</f>
        <v/>
      </c>
      <c r="F155">
        <f>IF($A155="","",$A155&amp;"|"&amp;$E155)</f>
        <v/>
      </c>
    </row>
    <row r="156">
      <c r="E156">
        <f>IF($A156="","",COUNTIF($A$2:$A156,$A156))</f>
        <v/>
      </c>
      <c r="F156">
        <f>IF($A156="","",$A156&amp;"|"&amp;$E156)</f>
        <v/>
      </c>
    </row>
    <row r="157">
      <c r="E157">
        <f>IF($A157="","",COUNTIF($A$2:$A157,$A157))</f>
        <v/>
      </c>
      <c r="F157">
        <f>IF($A157="","",$A157&amp;"|"&amp;$E157)</f>
        <v/>
      </c>
    </row>
    <row r="158">
      <c r="E158">
        <f>IF($A158="","",COUNTIF($A$2:$A158,$A158))</f>
        <v/>
      </c>
      <c r="F158">
        <f>IF($A158="","",$A158&amp;"|"&amp;$E158)</f>
        <v/>
      </c>
    </row>
    <row r="159">
      <c r="E159">
        <f>IF($A159="","",COUNTIF($A$2:$A159,$A159))</f>
        <v/>
      </c>
      <c r="F159">
        <f>IF($A159="","",$A159&amp;"|"&amp;$E159)</f>
        <v/>
      </c>
    </row>
    <row r="160">
      <c r="E160">
        <f>IF($A160="","",COUNTIF($A$2:$A160,$A160))</f>
        <v/>
      </c>
      <c r="F160">
        <f>IF($A160="","",$A160&amp;"|"&amp;$E160)</f>
        <v/>
      </c>
    </row>
    <row r="161">
      <c r="E161">
        <f>IF($A161="","",COUNTIF($A$2:$A161,$A161))</f>
        <v/>
      </c>
      <c r="F161">
        <f>IF($A161="","",$A161&amp;"|"&amp;$E161)</f>
        <v/>
      </c>
    </row>
    <row r="162">
      <c r="E162">
        <f>IF($A162="","",COUNTIF($A$2:$A162,$A162))</f>
        <v/>
      </c>
      <c r="F162">
        <f>IF($A162="","",$A162&amp;"|"&amp;$E162)</f>
        <v/>
      </c>
    </row>
    <row r="163">
      <c r="E163">
        <f>IF($A163="","",COUNTIF($A$2:$A163,$A163))</f>
        <v/>
      </c>
      <c r="F163">
        <f>IF($A163="","",$A163&amp;"|"&amp;$E163)</f>
        <v/>
      </c>
    </row>
    <row r="164">
      <c r="E164">
        <f>IF($A164="","",COUNTIF($A$2:$A164,$A164))</f>
        <v/>
      </c>
      <c r="F164">
        <f>IF($A164="","",$A164&amp;"|"&amp;$E164)</f>
        <v/>
      </c>
    </row>
    <row r="165">
      <c r="E165">
        <f>IF($A165="","",COUNTIF($A$2:$A165,$A165))</f>
        <v/>
      </c>
      <c r="F165">
        <f>IF($A165="","",$A165&amp;"|"&amp;$E165)</f>
        <v/>
      </c>
    </row>
    <row r="166">
      <c r="E166">
        <f>IF($A166="","",COUNTIF($A$2:$A166,$A166))</f>
        <v/>
      </c>
      <c r="F166">
        <f>IF($A166="","",$A166&amp;"|"&amp;$E166)</f>
        <v/>
      </c>
    </row>
    <row r="167">
      <c r="E167">
        <f>IF($A167="","",COUNTIF($A$2:$A167,$A167))</f>
        <v/>
      </c>
      <c r="F167">
        <f>IF($A167="","",$A167&amp;"|"&amp;$E167)</f>
        <v/>
      </c>
    </row>
    <row r="168">
      <c r="E168">
        <f>IF($A168="","",COUNTIF($A$2:$A168,$A168))</f>
        <v/>
      </c>
      <c r="F168">
        <f>IF($A168="","",$A168&amp;"|"&amp;$E168)</f>
        <v/>
      </c>
    </row>
    <row r="169">
      <c r="E169">
        <f>IF($A169="","",COUNTIF($A$2:$A169,$A169))</f>
        <v/>
      </c>
      <c r="F169">
        <f>IF($A169="","",$A169&amp;"|"&amp;$E169)</f>
        <v/>
      </c>
    </row>
    <row r="170">
      <c r="E170">
        <f>IF($A170="","",COUNTIF($A$2:$A170,$A170))</f>
        <v/>
      </c>
      <c r="F170">
        <f>IF($A170="","",$A170&amp;"|"&amp;$E170)</f>
        <v/>
      </c>
    </row>
    <row r="171">
      <c r="E171">
        <f>IF($A171="","",COUNTIF($A$2:$A171,$A171))</f>
        <v/>
      </c>
      <c r="F171">
        <f>IF($A171="","",$A171&amp;"|"&amp;$E171)</f>
        <v/>
      </c>
    </row>
    <row r="172">
      <c r="E172">
        <f>IF($A172="","",COUNTIF($A$2:$A172,$A172))</f>
        <v/>
      </c>
      <c r="F172">
        <f>IF($A172="","",$A172&amp;"|"&amp;$E172)</f>
        <v/>
      </c>
    </row>
    <row r="173">
      <c r="E173">
        <f>IF($A173="","",COUNTIF($A$2:$A173,$A173))</f>
        <v/>
      </c>
      <c r="F173">
        <f>IF($A173="","",$A173&amp;"|"&amp;$E173)</f>
        <v/>
      </c>
    </row>
    <row r="174">
      <c r="E174">
        <f>IF($A174="","",COUNTIF($A$2:$A174,$A174))</f>
        <v/>
      </c>
      <c r="F174">
        <f>IF($A174="","",$A174&amp;"|"&amp;$E174)</f>
        <v/>
      </c>
    </row>
    <row r="175">
      <c r="E175">
        <f>IF($A175="","",COUNTIF($A$2:$A175,$A175))</f>
        <v/>
      </c>
      <c r="F175">
        <f>IF($A175="","",$A175&amp;"|"&amp;$E175)</f>
        <v/>
      </c>
    </row>
    <row r="176">
      <c r="E176">
        <f>IF($A176="","",COUNTIF($A$2:$A176,$A176))</f>
        <v/>
      </c>
      <c r="F176">
        <f>IF($A176="","",$A176&amp;"|"&amp;$E176)</f>
        <v/>
      </c>
    </row>
    <row r="177">
      <c r="E177">
        <f>IF($A177="","",COUNTIF($A$2:$A177,$A177))</f>
        <v/>
      </c>
      <c r="F177">
        <f>IF($A177="","",$A177&amp;"|"&amp;$E177)</f>
        <v/>
      </c>
    </row>
    <row r="178">
      <c r="E178">
        <f>IF($A178="","",COUNTIF($A$2:$A178,$A178))</f>
        <v/>
      </c>
      <c r="F178">
        <f>IF($A178="","",$A178&amp;"|"&amp;$E178)</f>
        <v/>
      </c>
    </row>
    <row r="179">
      <c r="E179">
        <f>IF($A179="","",COUNTIF($A$2:$A179,$A179))</f>
        <v/>
      </c>
      <c r="F179">
        <f>IF($A179="","",$A179&amp;"|"&amp;$E179)</f>
        <v/>
      </c>
    </row>
    <row r="180">
      <c r="E180">
        <f>IF($A180="","",COUNTIF($A$2:$A180,$A180))</f>
        <v/>
      </c>
      <c r="F180">
        <f>IF($A180="","",$A180&amp;"|"&amp;$E180)</f>
        <v/>
      </c>
    </row>
    <row r="181">
      <c r="E181">
        <f>IF($A181="","",COUNTIF($A$2:$A181,$A181))</f>
        <v/>
      </c>
      <c r="F181">
        <f>IF($A181="","",$A181&amp;"|"&amp;$E181)</f>
        <v/>
      </c>
    </row>
    <row r="182">
      <c r="E182">
        <f>IF($A182="","",COUNTIF($A$2:$A182,$A182))</f>
        <v/>
      </c>
      <c r="F182">
        <f>IF($A182="","",$A182&amp;"|"&amp;$E182)</f>
        <v/>
      </c>
    </row>
    <row r="183">
      <c r="E183">
        <f>IF($A183="","",COUNTIF($A$2:$A183,$A183))</f>
        <v/>
      </c>
      <c r="F183">
        <f>IF($A183="","",$A183&amp;"|"&amp;$E183)</f>
        <v/>
      </c>
    </row>
    <row r="184">
      <c r="E184">
        <f>IF($A184="","",COUNTIF($A$2:$A184,$A184))</f>
        <v/>
      </c>
      <c r="F184">
        <f>IF($A184="","",$A184&amp;"|"&amp;$E184)</f>
        <v/>
      </c>
    </row>
    <row r="185">
      <c r="E185">
        <f>IF($A185="","",COUNTIF($A$2:$A185,$A185))</f>
        <v/>
      </c>
      <c r="F185">
        <f>IF($A185="","",$A185&amp;"|"&amp;$E185)</f>
        <v/>
      </c>
    </row>
    <row r="186">
      <c r="E186">
        <f>IF($A186="","",COUNTIF($A$2:$A186,$A186))</f>
        <v/>
      </c>
      <c r="F186">
        <f>IF($A186="","",$A186&amp;"|"&amp;$E186)</f>
        <v/>
      </c>
    </row>
    <row r="187">
      <c r="E187">
        <f>IF($A187="","",COUNTIF($A$2:$A187,$A187))</f>
        <v/>
      </c>
      <c r="F187">
        <f>IF($A187="","",$A187&amp;"|"&amp;$E187)</f>
        <v/>
      </c>
    </row>
    <row r="188">
      <c r="E188">
        <f>IF($A188="","",COUNTIF($A$2:$A188,$A188))</f>
        <v/>
      </c>
      <c r="F188">
        <f>IF($A188="","",$A188&amp;"|"&amp;$E188)</f>
        <v/>
      </c>
    </row>
    <row r="189">
      <c r="E189">
        <f>IF($A189="","",COUNTIF($A$2:$A189,$A189))</f>
        <v/>
      </c>
      <c r="F189">
        <f>IF($A189="","",$A189&amp;"|"&amp;$E189)</f>
        <v/>
      </c>
    </row>
    <row r="190">
      <c r="E190">
        <f>IF($A190="","",COUNTIF($A$2:$A190,$A190))</f>
        <v/>
      </c>
      <c r="F190">
        <f>IF($A190="","",$A190&amp;"|"&amp;$E190)</f>
        <v/>
      </c>
    </row>
    <row r="191">
      <c r="E191">
        <f>IF($A191="","",COUNTIF($A$2:$A191,$A191))</f>
        <v/>
      </c>
      <c r="F191">
        <f>IF($A191="","",$A191&amp;"|"&amp;$E191)</f>
        <v/>
      </c>
    </row>
    <row r="192">
      <c r="E192">
        <f>IF($A192="","",COUNTIF($A$2:$A192,$A192))</f>
        <v/>
      </c>
      <c r="F192">
        <f>IF($A192="","",$A192&amp;"|"&amp;$E192)</f>
        <v/>
      </c>
    </row>
    <row r="193">
      <c r="E193">
        <f>IF($A193="","",COUNTIF($A$2:$A193,$A193))</f>
        <v/>
      </c>
      <c r="F193">
        <f>IF($A193="","",$A193&amp;"|"&amp;$E193)</f>
        <v/>
      </c>
    </row>
    <row r="194">
      <c r="E194">
        <f>IF($A194="","",COUNTIF($A$2:$A194,$A194))</f>
        <v/>
      </c>
      <c r="F194">
        <f>IF($A194="","",$A194&amp;"|"&amp;$E194)</f>
        <v/>
      </c>
    </row>
    <row r="195">
      <c r="E195">
        <f>IF($A195="","",COUNTIF($A$2:$A195,$A195))</f>
        <v/>
      </c>
      <c r="F195">
        <f>IF($A195="","",$A195&amp;"|"&amp;$E195)</f>
        <v/>
      </c>
    </row>
    <row r="196">
      <c r="E196">
        <f>IF($A196="","",COUNTIF($A$2:$A196,$A196))</f>
        <v/>
      </c>
      <c r="F196">
        <f>IF($A196="","",$A196&amp;"|"&amp;$E196)</f>
        <v/>
      </c>
    </row>
    <row r="197">
      <c r="E197">
        <f>IF($A197="","",COUNTIF($A$2:$A197,$A197))</f>
        <v/>
      </c>
      <c r="F197">
        <f>IF($A197="","",$A197&amp;"|"&amp;$E197)</f>
        <v/>
      </c>
    </row>
    <row r="198">
      <c r="E198">
        <f>IF($A198="","",COUNTIF($A$2:$A198,$A198))</f>
        <v/>
      </c>
      <c r="F198">
        <f>IF($A198="","",$A198&amp;"|"&amp;$E198)</f>
        <v/>
      </c>
    </row>
    <row r="199">
      <c r="E199">
        <f>IF($A199="","",COUNTIF($A$2:$A199,$A199))</f>
        <v/>
      </c>
      <c r="F199">
        <f>IF($A199="","",$A199&amp;"|"&amp;$E199)</f>
        <v/>
      </c>
    </row>
    <row r="200">
      <c r="E200">
        <f>IF($A200="","",COUNTIF($A$2:$A200,$A200))</f>
        <v/>
      </c>
      <c r="F200">
        <f>IF($A200="","",$A200&amp;"|"&amp;$E200)</f>
        <v/>
      </c>
    </row>
    <row r="201">
      <c r="E201">
        <f>IF($A201="","",COUNTIF($A$2:$A201,$A201))</f>
        <v/>
      </c>
      <c r="F201">
        <f>IF($A201="","",$A201&amp;"|"&amp;$E201)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hidden="1" width="8" customWidth="1" min="3" max="3"/>
    <col hidden="1" width="22" customWidth="1" min="4" max="4"/>
  </cols>
  <sheetData>
    <row r="1" ht="20" customHeight="1">
      <c r="A1" s="31" t="inlineStr">
        <is>
          <t>Recipe</t>
        </is>
      </c>
      <c r="B1" s="31" t="inlineStr">
        <is>
          <t>Critical step</t>
        </is>
      </c>
      <c r="C1" s="31" t="inlineStr">
        <is>
          <t>Seq</t>
        </is>
      </c>
      <c r="D1" s="31" t="inlineStr">
        <is>
          <t>Key</t>
        </is>
      </c>
    </row>
    <row r="2">
      <c r="A2" t="inlineStr">
        <is>
          <t>House Potato Chips</t>
        </is>
      </c>
      <c r="B2" t="inlineStr">
        <is>
          <t>Slice 1.5–2 mm even thickness or chips fry unevenly.</t>
        </is>
      </c>
      <c r="C2">
        <f>IF($A2="","",COUNTIF($A$2:$A2,$A2))</f>
        <v/>
      </c>
      <c r="D2">
        <f>IF($A2="","",$A2&amp;"|"&amp;$C2)</f>
        <v/>
      </c>
    </row>
    <row r="3">
      <c r="A3" t="inlineStr">
        <is>
          <t>House Potato Chips</t>
        </is>
      </c>
      <c r="B3" t="inlineStr">
        <is>
          <t>Dry slices fully before frying — wet potatoes spit oil &amp; steam.</t>
        </is>
      </c>
      <c r="C3">
        <f>IF($A3="","",COUNTIF($A$2:$A3,$A3))</f>
        <v/>
      </c>
      <c r="D3">
        <f>IF($A3="","",$A3&amp;"|"&amp;$C3)</f>
        <v/>
      </c>
    </row>
    <row r="4">
      <c r="A4" t="inlineStr">
        <is>
          <t>House Potato Chips</t>
        </is>
      </c>
      <c r="B4" t="inlineStr">
        <is>
          <t>Oil at 350°F. Fry small batches; crowding drops temp &amp; sogs the chip.</t>
        </is>
      </c>
      <c r="C4">
        <f>IF($A4="","",COUNTIF($A$2:$A4,$A4))</f>
        <v/>
      </c>
      <c r="D4">
        <f>IF($A4="","",$A4&amp;"|"&amp;$C4)</f>
        <v/>
      </c>
    </row>
    <row r="5">
      <c r="A5" t="inlineStr">
        <is>
          <t>House Potato Chips</t>
        </is>
      </c>
      <c r="B5" t="inlineStr">
        <is>
          <t>Season the second they leave the oil so salt sticks.</t>
        </is>
      </c>
      <c r="C5">
        <f>IF($A5="","",COUNTIF($A$2:$A5,$A5))</f>
        <v/>
      </c>
      <c r="D5">
        <f>IF($A5="","",$A5&amp;"|"&amp;$C5)</f>
        <v/>
      </c>
    </row>
    <row r="6">
      <c r="A6" t="inlineStr">
        <is>
          <t>Spaghetti Carbonara</t>
        </is>
      </c>
      <c r="B6" t="inlineStr">
        <is>
          <t>Combine off the heat — direct heat scrambles the eggs.</t>
        </is>
      </c>
      <c r="C6">
        <f>IF($A6="","",COUNTIF($A$2:$A6,$A6))</f>
        <v/>
      </c>
      <c r="D6">
        <f>IF($A6="","",$A6&amp;"|"&amp;$C6)</f>
        <v/>
      </c>
    </row>
    <row r="7">
      <c r="A7" t="inlineStr">
        <is>
          <t>Spaghetti Carbonara</t>
        </is>
      </c>
      <c r="B7" t="inlineStr">
        <is>
          <t>Use reserved starchy pasta water to emulsify, not cream.</t>
        </is>
      </c>
      <c r="C7">
        <f>IF($A7="","",COUNTIF($A$2:$A7,$A7))</f>
        <v/>
      </c>
      <c r="D7">
        <f>IF($A7="","",$A7&amp;"|"&amp;$C7)</f>
        <v/>
      </c>
    </row>
    <row r="8">
      <c r="A8" t="inlineStr">
        <is>
          <t>Classic Smash Burger</t>
        </is>
      </c>
      <c r="B8" t="inlineStr">
        <is>
          <t>Smash within 30s of hitting the griddle for max crust.</t>
        </is>
      </c>
      <c r="C8">
        <f>IF($A8="","",COUNTIF($A$2:$A8,$A8))</f>
        <v/>
      </c>
      <c r="D8">
        <f>IF($A8="","",$A8&amp;"|"&amp;$C8)</f>
        <v/>
      </c>
    </row>
    <row r="9">
      <c r="A9" t="inlineStr">
        <is>
          <t>Pan-Seared Salmon</t>
        </is>
      </c>
      <c r="B9" t="inlineStr">
        <is>
          <t>Cook to 125°F internal for medium; carryover finishes it.</t>
        </is>
      </c>
      <c r="C9">
        <f>IF($A9="","",COUNTIF($A$2:$A9,$A9))</f>
        <v/>
      </c>
      <c r="D9">
        <f>IF($A9="","",$A9&amp;"|"&amp;$C9)</f>
        <v/>
      </c>
    </row>
    <row r="10">
      <c r="A10" t="inlineStr">
        <is>
          <t>Caesar Salad</t>
        </is>
      </c>
      <c r="B10" t="inlineStr">
        <is>
          <t>Dress to order; dressed romaine wilts within minutes.</t>
        </is>
      </c>
      <c r="C10">
        <f>IF($A10="","",COUNTIF($A$2:$A10,$A10))</f>
        <v/>
      </c>
      <c r="D10">
        <f>IF($A10="","",$A10&amp;"|"&amp;$C10)</f>
        <v/>
      </c>
    </row>
    <row r="11">
      <c r="C11">
        <f>IF($A11="","",COUNTIF($A$2:$A11,$A11))</f>
        <v/>
      </c>
      <c r="D11">
        <f>IF($A11="","",$A11&amp;"|"&amp;$C11)</f>
        <v/>
      </c>
    </row>
    <row r="12">
      <c r="C12">
        <f>IF($A12="","",COUNTIF($A$2:$A12,$A12))</f>
        <v/>
      </c>
      <c r="D12">
        <f>IF($A12="","",$A12&amp;"|"&amp;$C12)</f>
        <v/>
      </c>
    </row>
    <row r="13">
      <c r="C13">
        <f>IF($A13="","",COUNTIF($A$2:$A13,$A13))</f>
        <v/>
      </c>
      <c r="D13">
        <f>IF($A13="","",$A13&amp;"|"&amp;$C13)</f>
        <v/>
      </c>
    </row>
    <row r="14">
      <c r="C14">
        <f>IF($A14="","",COUNTIF($A$2:$A14,$A14))</f>
        <v/>
      </c>
      <c r="D14">
        <f>IF($A14="","",$A14&amp;"|"&amp;$C14)</f>
        <v/>
      </c>
    </row>
    <row r="15">
      <c r="C15">
        <f>IF($A15="","",COUNTIF($A$2:$A15,$A15))</f>
        <v/>
      </c>
      <c r="D15">
        <f>IF($A15="","",$A15&amp;"|"&amp;$C15)</f>
        <v/>
      </c>
    </row>
    <row r="16">
      <c r="C16">
        <f>IF($A16="","",COUNTIF($A$2:$A16,$A16))</f>
        <v/>
      </c>
      <c r="D16">
        <f>IF($A16="","",$A16&amp;"|"&amp;$C16)</f>
        <v/>
      </c>
    </row>
    <row r="17">
      <c r="C17">
        <f>IF($A17="","",COUNTIF($A$2:$A17,$A17))</f>
        <v/>
      </c>
      <c r="D17">
        <f>IF($A17="","",$A17&amp;"|"&amp;$C17)</f>
        <v/>
      </c>
    </row>
    <row r="18">
      <c r="C18">
        <f>IF($A18="","",COUNTIF($A$2:$A18,$A18))</f>
        <v/>
      </c>
      <c r="D18">
        <f>IF($A18="","",$A18&amp;"|"&amp;$C18)</f>
        <v/>
      </c>
    </row>
    <row r="19">
      <c r="C19">
        <f>IF($A19="","",COUNTIF($A$2:$A19,$A19))</f>
        <v/>
      </c>
      <c r="D19">
        <f>IF($A19="","",$A19&amp;"|"&amp;$C19)</f>
        <v/>
      </c>
    </row>
    <row r="20">
      <c r="C20">
        <f>IF($A20="","",COUNTIF($A$2:$A20,$A20))</f>
        <v/>
      </c>
      <c r="D20">
        <f>IF($A20="","",$A20&amp;"|"&amp;$C20)</f>
        <v/>
      </c>
    </row>
    <row r="21">
      <c r="C21">
        <f>IF($A21="","",COUNTIF($A$2:$A21,$A21))</f>
        <v/>
      </c>
      <c r="D21">
        <f>IF($A21="","",$A21&amp;"|"&amp;$C21)</f>
        <v/>
      </c>
    </row>
    <row r="22">
      <c r="C22">
        <f>IF($A22="","",COUNTIF($A$2:$A22,$A22))</f>
        <v/>
      </c>
      <c r="D22">
        <f>IF($A22="","",$A22&amp;"|"&amp;$C22)</f>
        <v/>
      </c>
    </row>
    <row r="23">
      <c r="C23">
        <f>IF($A23="","",COUNTIF($A$2:$A23,$A23))</f>
        <v/>
      </c>
      <c r="D23">
        <f>IF($A23="","",$A23&amp;"|"&amp;$C23)</f>
        <v/>
      </c>
    </row>
    <row r="24">
      <c r="C24">
        <f>IF($A24="","",COUNTIF($A$2:$A24,$A24))</f>
        <v/>
      </c>
      <c r="D24">
        <f>IF($A24="","",$A24&amp;"|"&amp;$C24)</f>
        <v/>
      </c>
    </row>
    <row r="25">
      <c r="C25">
        <f>IF($A25="","",COUNTIF($A$2:$A25,$A25))</f>
        <v/>
      </c>
      <c r="D25">
        <f>IF($A25="","",$A25&amp;"|"&amp;$C25)</f>
        <v/>
      </c>
    </row>
    <row r="26">
      <c r="C26">
        <f>IF($A26="","",COUNTIF($A$2:$A26,$A26))</f>
        <v/>
      </c>
      <c r="D26">
        <f>IF($A26="","",$A26&amp;"|"&amp;$C26)</f>
        <v/>
      </c>
    </row>
    <row r="27">
      <c r="C27">
        <f>IF($A27="","",COUNTIF($A$2:$A27,$A27))</f>
        <v/>
      </c>
      <c r="D27">
        <f>IF($A27="","",$A27&amp;"|"&amp;$C27)</f>
        <v/>
      </c>
    </row>
    <row r="28">
      <c r="C28">
        <f>IF($A28="","",COUNTIF($A$2:$A28,$A28))</f>
        <v/>
      </c>
      <c r="D28">
        <f>IF($A28="","",$A28&amp;"|"&amp;$C28)</f>
        <v/>
      </c>
    </row>
    <row r="29">
      <c r="C29">
        <f>IF($A29="","",COUNTIF($A$2:$A29,$A29))</f>
        <v/>
      </c>
      <c r="D29">
        <f>IF($A29="","",$A29&amp;"|"&amp;$C29)</f>
        <v/>
      </c>
    </row>
    <row r="30">
      <c r="C30">
        <f>IF($A30="","",COUNTIF($A$2:$A30,$A30))</f>
        <v/>
      </c>
      <c r="D30">
        <f>IF($A30="","",$A30&amp;"|"&amp;$C30)</f>
        <v/>
      </c>
    </row>
    <row r="31">
      <c r="C31">
        <f>IF($A31="","",COUNTIF($A$2:$A31,$A31))</f>
        <v/>
      </c>
      <c r="D31">
        <f>IF($A31="","",$A31&amp;"|"&amp;$C31)</f>
        <v/>
      </c>
    </row>
    <row r="32">
      <c r="C32">
        <f>IF($A32="","",COUNTIF($A$2:$A32,$A32))</f>
        <v/>
      </c>
      <c r="D32">
        <f>IF($A32="","",$A32&amp;"|"&amp;$C32)</f>
        <v/>
      </c>
    </row>
    <row r="33">
      <c r="C33">
        <f>IF($A33="","",COUNTIF($A$2:$A33,$A33))</f>
        <v/>
      </c>
      <c r="D33">
        <f>IF($A33="","",$A33&amp;"|"&amp;$C33)</f>
        <v/>
      </c>
    </row>
    <row r="34">
      <c r="C34">
        <f>IF($A34="","",COUNTIF($A$2:$A34,$A34))</f>
        <v/>
      </c>
      <c r="D34">
        <f>IF($A34="","",$A34&amp;"|"&amp;$C34)</f>
        <v/>
      </c>
    </row>
    <row r="35">
      <c r="C35">
        <f>IF($A35="","",COUNTIF($A$2:$A35,$A35))</f>
        <v/>
      </c>
      <c r="D35">
        <f>IF($A35="","",$A35&amp;"|"&amp;$C35)</f>
        <v/>
      </c>
    </row>
    <row r="36">
      <c r="C36">
        <f>IF($A36="","",COUNTIF($A$2:$A36,$A36))</f>
        <v/>
      </c>
      <c r="D36">
        <f>IF($A36="","",$A36&amp;"|"&amp;$C36)</f>
        <v/>
      </c>
    </row>
    <row r="37">
      <c r="C37">
        <f>IF($A37="","",COUNTIF($A$2:$A37,$A37))</f>
        <v/>
      </c>
      <c r="D37">
        <f>IF($A37="","",$A37&amp;"|"&amp;$C37)</f>
        <v/>
      </c>
    </row>
    <row r="38">
      <c r="C38">
        <f>IF($A38="","",COUNTIF($A$2:$A38,$A38))</f>
        <v/>
      </c>
      <c r="D38">
        <f>IF($A38="","",$A38&amp;"|"&amp;$C38)</f>
        <v/>
      </c>
    </row>
    <row r="39">
      <c r="C39">
        <f>IF($A39="","",COUNTIF($A$2:$A39,$A39))</f>
        <v/>
      </c>
      <c r="D39">
        <f>IF($A39="","",$A39&amp;"|"&amp;$C39)</f>
        <v/>
      </c>
    </row>
    <row r="40">
      <c r="C40">
        <f>IF($A40="","",COUNTIF($A$2:$A40,$A40))</f>
        <v/>
      </c>
      <c r="D40">
        <f>IF($A40="","",$A40&amp;"|"&amp;$C40)</f>
        <v/>
      </c>
    </row>
    <row r="41">
      <c r="C41">
        <f>IF($A41="","",COUNTIF($A$2:$A41,$A41))</f>
        <v/>
      </c>
      <c r="D41">
        <f>IF($A41="","",$A41&amp;"|"&amp;$C41)</f>
        <v/>
      </c>
    </row>
    <row r="42">
      <c r="C42">
        <f>IF($A42="","",COUNTIF($A$2:$A42,$A42))</f>
        <v/>
      </c>
      <c r="D42">
        <f>IF($A42="","",$A42&amp;"|"&amp;$C42)</f>
        <v/>
      </c>
    </row>
    <row r="43">
      <c r="C43">
        <f>IF($A43="","",COUNTIF($A$2:$A43,$A43))</f>
        <v/>
      </c>
      <c r="D43">
        <f>IF($A43="","",$A43&amp;"|"&amp;$C43)</f>
        <v/>
      </c>
    </row>
    <row r="44">
      <c r="C44">
        <f>IF($A44="","",COUNTIF($A$2:$A44,$A44))</f>
        <v/>
      </c>
      <c r="D44">
        <f>IF($A44="","",$A44&amp;"|"&amp;$C44)</f>
        <v/>
      </c>
    </row>
    <row r="45">
      <c r="C45">
        <f>IF($A45="","",COUNTIF($A$2:$A45,$A45))</f>
        <v/>
      </c>
      <c r="D45">
        <f>IF($A45="","",$A45&amp;"|"&amp;$C45)</f>
        <v/>
      </c>
    </row>
    <row r="46">
      <c r="C46">
        <f>IF($A46="","",COUNTIF($A$2:$A46,$A46))</f>
        <v/>
      </c>
      <c r="D46">
        <f>IF($A46="","",$A46&amp;"|"&amp;$C46)</f>
        <v/>
      </c>
    </row>
    <row r="47">
      <c r="C47">
        <f>IF($A47="","",COUNTIF($A$2:$A47,$A47))</f>
        <v/>
      </c>
      <c r="D47">
        <f>IF($A47="","",$A47&amp;"|"&amp;$C47)</f>
        <v/>
      </c>
    </row>
    <row r="48">
      <c r="C48">
        <f>IF($A48="","",COUNTIF($A$2:$A48,$A48))</f>
        <v/>
      </c>
      <c r="D48">
        <f>IF($A48="","",$A48&amp;"|"&amp;$C48)</f>
        <v/>
      </c>
    </row>
    <row r="49">
      <c r="C49">
        <f>IF($A49="","",COUNTIF($A$2:$A49,$A49))</f>
        <v/>
      </c>
      <c r="D49">
        <f>IF($A49="","",$A49&amp;"|"&amp;$C49)</f>
        <v/>
      </c>
    </row>
    <row r="50">
      <c r="C50">
        <f>IF($A50="","",COUNTIF($A$2:$A50,$A50))</f>
        <v/>
      </c>
      <c r="D50">
        <f>IF($A50="","",$A50&amp;"|"&amp;$C50)</f>
        <v/>
      </c>
    </row>
    <row r="51">
      <c r="C51">
        <f>IF($A51="","",COUNTIF($A$2:$A51,$A51))</f>
        <v/>
      </c>
      <c r="D51">
        <f>IF($A51="","",$A51&amp;"|"&amp;$C51)</f>
        <v/>
      </c>
    </row>
    <row r="52">
      <c r="C52">
        <f>IF($A52="","",COUNTIF($A$2:$A52,$A52))</f>
        <v/>
      </c>
      <c r="D52">
        <f>IF($A52="","",$A52&amp;"|"&amp;$C52)</f>
        <v/>
      </c>
    </row>
    <row r="53">
      <c r="C53">
        <f>IF($A53="","",COUNTIF($A$2:$A53,$A53))</f>
        <v/>
      </c>
      <c r="D53">
        <f>IF($A53="","",$A53&amp;"|"&amp;$C53)</f>
        <v/>
      </c>
    </row>
    <row r="54">
      <c r="C54">
        <f>IF($A54="","",COUNTIF($A$2:$A54,$A54))</f>
        <v/>
      </c>
      <c r="D54">
        <f>IF($A54="","",$A54&amp;"|"&amp;$C54)</f>
        <v/>
      </c>
    </row>
    <row r="55">
      <c r="C55">
        <f>IF($A55="","",COUNTIF($A$2:$A55,$A55))</f>
        <v/>
      </c>
      <c r="D55">
        <f>IF($A55="","",$A55&amp;"|"&amp;$C55)</f>
        <v/>
      </c>
    </row>
    <row r="56">
      <c r="C56">
        <f>IF($A56="","",COUNTIF($A$2:$A56,$A56))</f>
        <v/>
      </c>
      <c r="D56">
        <f>IF($A56="","",$A56&amp;"|"&amp;$C56)</f>
        <v/>
      </c>
    </row>
    <row r="57">
      <c r="C57">
        <f>IF($A57="","",COUNTIF($A$2:$A57,$A57))</f>
        <v/>
      </c>
      <c r="D57">
        <f>IF($A57="","",$A57&amp;"|"&amp;$C57)</f>
        <v/>
      </c>
    </row>
    <row r="58">
      <c r="C58">
        <f>IF($A58="","",COUNTIF($A$2:$A58,$A58))</f>
        <v/>
      </c>
      <c r="D58">
        <f>IF($A58="","",$A58&amp;"|"&amp;$C58)</f>
        <v/>
      </c>
    </row>
    <row r="59">
      <c r="C59">
        <f>IF($A59="","",COUNTIF($A$2:$A59,$A59))</f>
        <v/>
      </c>
      <c r="D59">
        <f>IF($A59="","",$A59&amp;"|"&amp;$C59)</f>
        <v/>
      </c>
    </row>
    <row r="60">
      <c r="C60">
        <f>IF($A60="","",COUNTIF($A$2:$A60,$A60))</f>
        <v/>
      </c>
      <c r="D60">
        <f>IF($A60="","",$A60&amp;"|"&amp;$C60)</f>
        <v/>
      </c>
    </row>
    <row r="61">
      <c r="C61">
        <f>IF($A61="","",COUNTIF($A$2:$A61,$A61))</f>
        <v/>
      </c>
      <c r="D61">
        <f>IF($A61="","",$A61&amp;"|"&amp;$C61)</f>
        <v/>
      </c>
    </row>
    <row r="62">
      <c r="C62">
        <f>IF($A62="","",COUNTIF($A$2:$A62,$A62))</f>
        <v/>
      </c>
      <c r="D62">
        <f>IF($A62="","",$A62&amp;"|"&amp;$C62)</f>
        <v/>
      </c>
    </row>
    <row r="63">
      <c r="C63">
        <f>IF($A63="","",COUNTIF($A$2:$A63,$A63))</f>
        <v/>
      </c>
      <c r="D63">
        <f>IF($A63="","",$A63&amp;"|"&amp;$C63)</f>
        <v/>
      </c>
    </row>
    <row r="64">
      <c r="C64">
        <f>IF($A64="","",COUNTIF($A$2:$A64,$A64))</f>
        <v/>
      </c>
      <c r="D64">
        <f>IF($A64="","",$A64&amp;"|"&amp;$C64)</f>
        <v/>
      </c>
    </row>
    <row r="65">
      <c r="C65">
        <f>IF($A65="","",COUNTIF($A$2:$A65,$A65))</f>
        <v/>
      </c>
      <c r="D65">
        <f>IF($A65="","",$A65&amp;"|"&amp;$C65)</f>
        <v/>
      </c>
    </row>
    <row r="66">
      <c r="C66">
        <f>IF($A66="","",COUNTIF($A$2:$A66,$A66))</f>
        <v/>
      </c>
      <c r="D66">
        <f>IF($A66="","",$A66&amp;"|"&amp;$C66)</f>
        <v/>
      </c>
    </row>
    <row r="67">
      <c r="C67">
        <f>IF($A67="","",COUNTIF($A$2:$A67,$A67))</f>
        <v/>
      </c>
      <c r="D67">
        <f>IF($A67="","",$A67&amp;"|"&amp;$C67)</f>
        <v/>
      </c>
    </row>
    <row r="68">
      <c r="C68">
        <f>IF($A68="","",COUNTIF($A$2:$A68,$A68))</f>
        <v/>
      </c>
      <c r="D68">
        <f>IF($A68="","",$A68&amp;"|"&amp;$C68)</f>
        <v/>
      </c>
    </row>
    <row r="69">
      <c r="C69">
        <f>IF($A69="","",COUNTIF($A$2:$A69,$A69))</f>
        <v/>
      </c>
      <c r="D69">
        <f>IF($A69="","",$A69&amp;"|"&amp;$C69)</f>
        <v/>
      </c>
    </row>
    <row r="70">
      <c r="C70">
        <f>IF($A70="","",COUNTIF($A$2:$A70,$A70))</f>
        <v/>
      </c>
      <c r="D70">
        <f>IF($A70="","",$A70&amp;"|"&amp;$C70)</f>
        <v/>
      </c>
    </row>
    <row r="71">
      <c r="C71">
        <f>IF($A71="","",COUNTIF($A$2:$A71,$A71))</f>
        <v/>
      </c>
      <c r="D71">
        <f>IF($A71="","",$A71&amp;"|"&amp;$C71)</f>
        <v/>
      </c>
    </row>
    <row r="72">
      <c r="C72">
        <f>IF($A72="","",COUNTIF($A$2:$A72,$A72))</f>
        <v/>
      </c>
      <c r="D72">
        <f>IF($A72="","",$A72&amp;"|"&amp;$C72)</f>
        <v/>
      </c>
    </row>
    <row r="73">
      <c r="C73">
        <f>IF($A73="","",COUNTIF($A$2:$A73,$A73))</f>
        <v/>
      </c>
      <c r="D73">
        <f>IF($A73="","",$A73&amp;"|"&amp;$C73)</f>
        <v/>
      </c>
    </row>
    <row r="74">
      <c r="C74">
        <f>IF($A74="","",COUNTIF($A$2:$A74,$A74))</f>
        <v/>
      </c>
      <c r="D74">
        <f>IF($A74="","",$A74&amp;"|"&amp;$C74)</f>
        <v/>
      </c>
    </row>
    <row r="75">
      <c r="C75">
        <f>IF($A75="","",COUNTIF($A$2:$A75,$A75))</f>
        <v/>
      </c>
      <c r="D75">
        <f>IF($A75="","",$A75&amp;"|"&amp;$C75)</f>
        <v/>
      </c>
    </row>
    <row r="76">
      <c r="C76">
        <f>IF($A76="","",COUNTIF($A$2:$A76,$A76))</f>
        <v/>
      </c>
      <c r="D76">
        <f>IF($A76="","",$A76&amp;"|"&amp;$C76)</f>
        <v/>
      </c>
    </row>
    <row r="77">
      <c r="C77">
        <f>IF($A77="","",COUNTIF($A$2:$A77,$A77))</f>
        <v/>
      </c>
      <c r="D77">
        <f>IF($A77="","",$A77&amp;"|"&amp;$C77)</f>
        <v/>
      </c>
    </row>
    <row r="78">
      <c r="C78">
        <f>IF($A78="","",COUNTIF($A$2:$A78,$A78))</f>
        <v/>
      </c>
      <c r="D78">
        <f>IF($A78="","",$A78&amp;"|"&amp;$C78)</f>
        <v/>
      </c>
    </row>
    <row r="79">
      <c r="C79">
        <f>IF($A79="","",COUNTIF($A$2:$A79,$A79))</f>
        <v/>
      </c>
      <c r="D79">
        <f>IF($A79="","",$A79&amp;"|"&amp;$C79)</f>
        <v/>
      </c>
    </row>
    <row r="80">
      <c r="C80">
        <f>IF($A80="","",COUNTIF($A$2:$A80,$A80))</f>
        <v/>
      </c>
      <c r="D80">
        <f>IF($A80="","",$A80&amp;"|"&amp;$C80)</f>
        <v/>
      </c>
    </row>
    <row r="81">
      <c r="C81">
        <f>IF($A81="","",COUNTIF($A$2:$A81,$A81))</f>
        <v/>
      </c>
      <c r="D81">
        <f>IF($A81="","",$A81&amp;"|"&amp;$C81)</f>
        <v/>
      </c>
    </row>
    <row r="82">
      <c r="C82">
        <f>IF($A82="","",COUNTIF($A$2:$A82,$A82))</f>
        <v/>
      </c>
      <c r="D82">
        <f>IF($A82="","",$A82&amp;"|"&amp;$C82)</f>
        <v/>
      </c>
    </row>
    <row r="83">
      <c r="C83">
        <f>IF($A83="","",COUNTIF($A$2:$A83,$A83))</f>
        <v/>
      </c>
      <c r="D83">
        <f>IF($A83="","",$A83&amp;"|"&amp;$C83)</f>
        <v/>
      </c>
    </row>
    <row r="84">
      <c r="C84">
        <f>IF($A84="","",COUNTIF($A$2:$A84,$A84))</f>
        <v/>
      </c>
      <c r="D84">
        <f>IF($A84="","",$A84&amp;"|"&amp;$C84)</f>
        <v/>
      </c>
    </row>
    <row r="85">
      <c r="C85">
        <f>IF($A85="","",COUNTIF($A$2:$A85,$A85))</f>
        <v/>
      </c>
      <c r="D85">
        <f>IF($A85="","",$A85&amp;"|"&amp;$C85)</f>
        <v/>
      </c>
    </row>
    <row r="86">
      <c r="C86">
        <f>IF($A86="","",COUNTIF($A$2:$A86,$A86))</f>
        <v/>
      </c>
      <c r="D86">
        <f>IF($A86="","",$A86&amp;"|"&amp;$C86)</f>
        <v/>
      </c>
    </row>
    <row r="87">
      <c r="C87">
        <f>IF($A87="","",COUNTIF($A$2:$A87,$A87))</f>
        <v/>
      </c>
      <c r="D87">
        <f>IF($A87="","",$A87&amp;"|"&amp;$C87)</f>
        <v/>
      </c>
    </row>
    <row r="88">
      <c r="C88">
        <f>IF($A88="","",COUNTIF($A$2:$A88,$A88))</f>
        <v/>
      </c>
      <c r="D88">
        <f>IF($A88="","",$A88&amp;"|"&amp;$C88)</f>
        <v/>
      </c>
    </row>
    <row r="89">
      <c r="C89">
        <f>IF($A89="","",COUNTIF($A$2:$A89,$A89))</f>
        <v/>
      </c>
      <c r="D89">
        <f>IF($A89="","",$A89&amp;"|"&amp;$C89)</f>
        <v/>
      </c>
    </row>
    <row r="90">
      <c r="C90">
        <f>IF($A90="","",COUNTIF($A$2:$A90,$A90))</f>
        <v/>
      </c>
      <c r="D90">
        <f>IF($A90="","",$A90&amp;"|"&amp;$C90)</f>
        <v/>
      </c>
    </row>
    <row r="91">
      <c r="C91">
        <f>IF($A91="","",COUNTIF($A$2:$A91,$A91))</f>
        <v/>
      </c>
      <c r="D91">
        <f>IF($A91="","",$A91&amp;"|"&amp;$C91)</f>
        <v/>
      </c>
    </row>
    <row r="92">
      <c r="C92">
        <f>IF($A92="","",COUNTIF($A$2:$A92,$A92))</f>
        <v/>
      </c>
      <c r="D92">
        <f>IF($A92="","",$A92&amp;"|"&amp;$C92)</f>
        <v/>
      </c>
    </row>
    <row r="93">
      <c r="C93">
        <f>IF($A93="","",COUNTIF($A$2:$A93,$A93))</f>
        <v/>
      </c>
      <c r="D93">
        <f>IF($A93="","",$A93&amp;"|"&amp;$C93)</f>
        <v/>
      </c>
    </row>
    <row r="94">
      <c r="C94">
        <f>IF($A94="","",COUNTIF($A$2:$A94,$A94))</f>
        <v/>
      </c>
      <c r="D94">
        <f>IF($A94="","",$A94&amp;"|"&amp;$C94)</f>
        <v/>
      </c>
    </row>
    <row r="95">
      <c r="C95">
        <f>IF($A95="","",COUNTIF($A$2:$A95,$A95))</f>
        <v/>
      </c>
      <c r="D95">
        <f>IF($A95="","",$A95&amp;"|"&amp;$C95)</f>
        <v/>
      </c>
    </row>
    <row r="96">
      <c r="C96">
        <f>IF($A96="","",COUNTIF($A$2:$A96,$A96))</f>
        <v/>
      </c>
      <c r="D96">
        <f>IF($A96="","",$A96&amp;"|"&amp;$C96)</f>
        <v/>
      </c>
    </row>
    <row r="97">
      <c r="C97">
        <f>IF($A97="","",COUNTIF($A$2:$A97,$A97))</f>
        <v/>
      </c>
      <c r="D97">
        <f>IF($A97="","",$A97&amp;"|"&amp;$C97)</f>
        <v/>
      </c>
    </row>
    <row r="98">
      <c r="C98">
        <f>IF($A98="","",COUNTIF($A$2:$A98,$A98))</f>
        <v/>
      </c>
      <c r="D98">
        <f>IF($A98="","",$A98&amp;"|"&amp;$C98)</f>
        <v/>
      </c>
    </row>
    <row r="99">
      <c r="C99">
        <f>IF($A99="","",COUNTIF($A$2:$A99,$A99))</f>
        <v/>
      </c>
      <c r="D99">
        <f>IF($A99="","",$A99&amp;"|"&amp;$C99)</f>
        <v/>
      </c>
    </row>
    <row r="100">
      <c r="C100">
        <f>IF($A100="","",COUNTIF($A$2:$A100,$A100))</f>
        <v/>
      </c>
      <c r="D100">
        <f>IF($A100="","",$A100&amp;"|"&amp;$C100)</f>
        <v/>
      </c>
    </row>
    <row r="101">
      <c r="C101">
        <f>IF($A101="","",COUNTIF($A$2:$A101,$A101))</f>
        <v/>
      </c>
      <c r="D101">
        <f>IF($A101="","",$A101&amp;"|"&amp;$C101)</f>
        <v/>
      </c>
    </row>
    <row r="102">
      <c r="C102">
        <f>IF($A102="","",COUNTIF($A$2:$A102,$A102))</f>
        <v/>
      </c>
      <c r="D102">
        <f>IF($A102="","",$A102&amp;"|"&amp;$C102)</f>
        <v/>
      </c>
    </row>
    <row r="103">
      <c r="C103">
        <f>IF($A103="","",COUNTIF($A$2:$A103,$A103))</f>
        <v/>
      </c>
      <c r="D103">
        <f>IF($A103="","",$A103&amp;"|"&amp;$C103)</f>
        <v/>
      </c>
    </row>
    <row r="104">
      <c r="C104">
        <f>IF($A104="","",COUNTIF($A$2:$A104,$A104))</f>
        <v/>
      </c>
      <c r="D104">
        <f>IF($A104="","",$A104&amp;"|"&amp;$C104)</f>
        <v/>
      </c>
    </row>
    <row r="105">
      <c r="C105">
        <f>IF($A105="","",COUNTIF($A$2:$A105,$A105))</f>
        <v/>
      </c>
      <c r="D105">
        <f>IF($A105="","",$A105&amp;"|"&amp;$C105)</f>
        <v/>
      </c>
    </row>
    <row r="106">
      <c r="C106">
        <f>IF($A106="","",COUNTIF($A$2:$A106,$A106))</f>
        <v/>
      </c>
      <c r="D106">
        <f>IF($A106="","",$A106&amp;"|"&amp;$C106)</f>
        <v/>
      </c>
    </row>
    <row r="107">
      <c r="C107">
        <f>IF($A107="","",COUNTIF($A$2:$A107,$A107))</f>
        <v/>
      </c>
      <c r="D107">
        <f>IF($A107="","",$A107&amp;"|"&amp;$C107)</f>
        <v/>
      </c>
    </row>
    <row r="108">
      <c r="C108">
        <f>IF($A108="","",COUNTIF($A$2:$A108,$A108))</f>
        <v/>
      </c>
      <c r="D108">
        <f>IF($A108="","",$A108&amp;"|"&amp;$C108)</f>
        <v/>
      </c>
    </row>
    <row r="109">
      <c r="C109">
        <f>IF($A109="","",COUNTIF($A$2:$A109,$A109))</f>
        <v/>
      </c>
      <c r="D109">
        <f>IF($A109="","",$A109&amp;"|"&amp;$C109)</f>
        <v/>
      </c>
    </row>
    <row r="110">
      <c r="C110">
        <f>IF($A110="","",COUNTIF($A$2:$A110,$A110))</f>
        <v/>
      </c>
      <c r="D110">
        <f>IF($A110="","",$A110&amp;"|"&amp;$C110)</f>
        <v/>
      </c>
    </row>
    <row r="111">
      <c r="C111">
        <f>IF($A111="","",COUNTIF($A$2:$A111,$A111))</f>
        <v/>
      </c>
      <c r="D111">
        <f>IF($A111="","",$A111&amp;"|"&amp;$C111)</f>
        <v/>
      </c>
    </row>
    <row r="112">
      <c r="C112">
        <f>IF($A112="","",COUNTIF($A$2:$A112,$A112))</f>
        <v/>
      </c>
      <c r="D112">
        <f>IF($A112="","",$A112&amp;"|"&amp;$C112)</f>
        <v/>
      </c>
    </row>
    <row r="113">
      <c r="C113">
        <f>IF($A113="","",COUNTIF($A$2:$A113,$A113))</f>
        <v/>
      </c>
      <c r="D113">
        <f>IF($A113="","",$A113&amp;"|"&amp;$C113)</f>
        <v/>
      </c>
    </row>
    <row r="114">
      <c r="C114">
        <f>IF($A114="","",COUNTIF($A$2:$A114,$A114))</f>
        <v/>
      </c>
      <c r="D114">
        <f>IF($A114="","",$A114&amp;"|"&amp;$C114)</f>
        <v/>
      </c>
    </row>
    <row r="115">
      <c r="C115">
        <f>IF($A115="","",COUNTIF($A$2:$A115,$A115))</f>
        <v/>
      </c>
      <c r="D115">
        <f>IF($A115="","",$A115&amp;"|"&amp;$C115)</f>
        <v/>
      </c>
    </row>
    <row r="116">
      <c r="C116">
        <f>IF($A116="","",COUNTIF($A$2:$A116,$A116))</f>
        <v/>
      </c>
      <c r="D116">
        <f>IF($A116="","",$A116&amp;"|"&amp;$C116)</f>
        <v/>
      </c>
    </row>
    <row r="117">
      <c r="C117">
        <f>IF($A117="","",COUNTIF($A$2:$A117,$A117))</f>
        <v/>
      </c>
      <c r="D117">
        <f>IF($A117="","",$A117&amp;"|"&amp;$C117)</f>
        <v/>
      </c>
    </row>
    <row r="118">
      <c r="C118">
        <f>IF($A118="","",COUNTIF($A$2:$A118,$A118))</f>
        <v/>
      </c>
      <c r="D118">
        <f>IF($A118="","",$A118&amp;"|"&amp;$C118)</f>
        <v/>
      </c>
    </row>
    <row r="119">
      <c r="C119">
        <f>IF($A119="","",COUNTIF($A$2:$A119,$A119))</f>
        <v/>
      </c>
      <c r="D119">
        <f>IF($A119="","",$A119&amp;"|"&amp;$C119)</f>
        <v/>
      </c>
    </row>
    <row r="120">
      <c r="C120">
        <f>IF($A120="","",COUNTIF($A$2:$A120,$A120))</f>
        <v/>
      </c>
      <c r="D120">
        <f>IF($A120="","",$A120&amp;"|"&amp;$C120)</f>
        <v/>
      </c>
    </row>
    <row r="121">
      <c r="C121">
        <f>IF($A121="","",COUNTIF($A$2:$A121,$A121))</f>
        <v/>
      </c>
      <c r="D121">
        <f>IF($A121="","",$A121&amp;"|"&amp;$C121)</f>
        <v/>
      </c>
    </row>
    <row r="122">
      <c r="C122">
        <f>IF($A122="","",COUNTIF($A$2:$A122,$A122))</f>
        <v/>
      </c>
      <c r="D122">
        <f>IF($A122="","",$A122&amp;"|"&amp;$C122)</f>
        <v/>
      </c>
    </row>
    <row r="123">
      <c r="C123">
        <f>IF($A123="","",COUNTIF($A$2:$A123,$A123))</f>
        <v/>
      </c>
      <c r="D123">
        <f>IF($A123="","",$A123&amp;"|"&amp;$C123)</f>
        <v/>
      </c>
    </row>
    <row r="124">
      <c r="C124">
        <f>IF($A124="","",COUNTIF($A$2:$A124,$A124))</f>
        <v/>
      </c>
      <c r="D124">
        <f>IF($A124="","",$A124&amp;"|"&amp;$C124)</f>
        <v/>
      </c>
    </row>
    <row r="125">
      <c r="C125">
        <f>IF($A125="","",COUNTIF($A$2:$A125,$A125))</f>
        <v/>
      </c>
      <c r="D125">
        <f>IF($A125="","",$A125&amp;"|"&amp;$C125)</f>
        <v/>
      </c>
    </row>
    <row r="126">
      <c r="C126">
        <f>IF($A126="","",COUNTIF($A$2:$A126,$A126))</f>
        <v/>
      </c>
      <c r="D126">
        <f>IF($A126="","",$A126&amp;"|"&amp;$C126)</f>
        <v/>
      </c>
    </row>
    <row r="127">
      <c r="C127">
        <f>IF($A127="","",COUNTIF($A$2:$A127,$A127))</f>
        <v/>
      </c>
      <c r="D127">
        <f>IF($A127="","",$A127&amp;"|"&amp;$C127)</f>
        <v/>
      </c>
    </row>
    <row r="128">
      <c r="C128">
        <f>IF($A128="","",COUNTIF($A$2:$A128,$A128))</f>
        <v/>
      </c>
      <c r="D128">
        <f>IF($A128="","",$A128&amp;"|"&amp;$C128)</f>
        <v/>
      </c>
    </row>
    <row r="129">
      <c r="C129">
        <f>IF($A129="","",COUNTIF($A$2:$A129,$A129))</f>
        <v/>
      </c>
      <c r="D129">
        <f>IF($A129="","",$A129&amp;"|"&amp;$C129)</f>
        <v/>
      </c>
    </row>
    <row r="130">
      <c r="C130">
        <f>IF($A130="","",COUNTIF($A$2:$A130,$A130))</f>
        <v/>
      </c>
      <c r="D130">
        <f>IF($A130="","",$A130&amp;"|"&amp;$C130)</f>
        <v/>
      </c>
    </row>
    <row r="131">
      <c r="C131">
        <f>IF($A131="","",COUNTIF($A$2:$A131,$A131))</f>
        <v/>
      </c>
      <c r="D131">
        <f>IF($A131="","",$A131&amp;"|"&amp;$C131)</f>
        <v/>
      </c>
    </row>
    <row r="132">
      <c r="C132">
        <f>IF($A132="","",COUNTIF($A$2:$A132,$A132))</f>
        <v/>
      </c>
      <c r="D132">
        <f>IF($A132="","",$A132&amp;"|"&amp;$C132)</f>
        <v/>
      </c>
    </row>
    <row r="133">
      <c r="C133">
        <f>IF($A133="","",COUNTIF($A$2:$A133,$A133))</f>
        <v/>
      </c>
      <c r="D133">
        <f>IF($A133="","",$A133&amp;"|"&amp;$C133)</f>
        <v/>
      </c>
    </row>
    <row r="134">
      <c r="C134">
        <f>IF($A134="","",COUNTIF($A$2:$A134,$A134))</f>
        <v/>
      </c>
      <c r="D134">
        <f>IF($A134="","",$A134&amp;"|"&amp;$C134)</f>
        <v/>
      </c>
    </row>
    <row r="135">
      <c r="C135">
        <f>IF($A135="","",COUNTIF($A$2:$A135,$A135))</f>
        <v/>
      </c>
      <c r="D135">
        <f>IF($A135="","",$A135&amp;"|"&amp;$C135)</f>
        <v/>
      </c>
    </row>
    <row r="136">
      <c r="C136">
        <f>IF($A136="","",COUNTIF($A$2:$A136,$A136))</f>
        <v/>
      </c>
      <c r="D136">
        <f>IF($A136="","",$A136&amp;"|"&amp;$C136)</f>
        <v/>
      </c>
    </row>
    <row r="137">
      <c r="C137">
        <f>IF($A137="","",COUNTIF($A$2:$A137,$A137))</f>
        <v/>
      </c>
      <c r="D137">
        <f>IF($A137="","",$A137&amp;"|"&amp;$C137)</f>
        <v/>
      </c>
    </row>
    <row r="138">
      <c r="C138">
        <f>IF($A138="","",COUNTIF($A$2:$A138,$A138))</f>
        <v/>
      </c>
      <c r="D138">
        <f>IF($A138="","",$A138&amp;"|"&amp;$C138)</f>
        <v/>
      </c>
    </row>
    <row r="139">
      <c r="C139">
        <f>IF($A139="","",COUNTIF($A$2:$A139,$A139))</f>
        <v/>
      </c>
      <c r="D139">
        <f>IF($A139="","",$A139&amp;"|"&amp;$C139)</f>
        <v/>
      </c>
    </row>
    <row r="140">
      <c r="C140">
        <f>IF($A140="","",COUNTIF($A$2:$A140,$A140))</f>
        <v/>
      </c>
      <c r="D140">
        <f>IF($A140="","",$A140&amp;"|"&amp;$C140)</f>
        <v/>
      </c>
    </row>
    <row r="141">
      <c r="C141">
        <f>IF($A141="","",COUNTIF($A$2:$A141,$A141))</f>
        <v/>
      </c>
      <c r="D141">
        <f>IF($A141="","",$A141&amp;"|"&amp;$C141)</f>
        <v/>
      </c>
    </row>
    <row r="142">
      <c r="C142">
        <f>IF($A142="","",COUNTIF($A$2:$A142,$A142))</f>
        <v/>
      </c>
      <c r="D142">
        <f>IF($A142="","",$A142&amp;"|"&amp;$C142)</f>
        <v/>
      </c>
    </row>
    <row r="143">
      <c r="C143">
        <f>IF($A143="","",COUNTIF($A$2:$A143,$A143))</f>
        <v/>
      </c>
      <c r="D143">
        <f>IF($A143="","",$A143&amp;"|"&amp;$C143)</f>
        <v/>
      </c>
    </row>
    <row r="144">
      <c r="C144">
        <f>IF($A144="","",COUNTIF($A$2:$A144,$A144))</f>
        <v/>
      </c>
      <c r="D144">
        <f>IF($A144="","",$A144&amp;"|"&amp;$C144)</f>
        <v/>
      </c>
    </row>
    <row r="145">
      <c r="C145">
        <f>IF($A145="","",COUNTIF($A$2:$A145,$A145))</f>
        <v/>
      </c>
      <c r="D145">
        <f>IF($A145="","",$A145&amp;"|"&amp;$C145)</f>
        <v/>
      </c>
    </row>
    <row r="146">
      <c r="C146">
        <f>IF($A146="","",COUNTIF($A$2:$A146,$A146))</f>
        <v/>
      </c>
      <c r="D146">
        <f>IF($A146="","",$A146&amp;"|"&amp;$C146)</f>
        <v/>
      </c>
    </row>
    <row r="147">
      <c r="C147">
        <f>IF($A147="","",COUNTIF($A$2:$A147,$A147))</f>
        <v/>
      </c>
      <c r="D147">
        <f>IF($A147="","",$A147&amp;"|"&amp;$C147)</f>
        <v/>
      </c>
    </row>
    <row r="148">
      <c r="C148">
        <f>IF($A148="","",COUNTIF($A$2:$A148,$A148))</f>
        <v/>
      </c>
      <c r="D148">
        <f>IF($A148="","",$A148&amp;"|"&amp;$C148)</f>
        <v/>
      </c>
    </row>
    <row r="149">
      <c r="C149">
        <f>IF($A149="","",COUNTIF($A$2:$A149,$A149))</f>
        <v/>
      </c>
      <c r="D149">
        <f>IF($A149="","",$A149&amp;"|"&amp;$C149)</f>
        <v/>
      </c>
    </row>
    <row r="150">
      <c r="C150">
        <f>IF($A150="","",COUNTIF($A$2:$A150,$A150))</f>
        <v/>
      </c>
      <c r="D150">
        <f>IF($A150="","",$A150&amp;"|"&amp;$C150)</f>
        <v/>
      </c>
    </row>
    <row r="151">
      <c r="C151">
        <f>IF($A151="","",COUNTIF($A$2:$A151,$A151))</f>
        <v/>
      </c>
      <c r="D151">
        <f>IF($A151="","",$A151&amp;"|"&amp;$C151)</f>
        <v/>
      </c>
    </row>
    <row r="152">
      <c r="C152">
        <f>IF($A152="","",COUNTIF($A$2:$A152,$A152))</f>
        <v/>
      </c>
      <c r="D152">
        <f>IF($A152="","",$A152&amp;"|"&amp;$C152)</f>
        <v/>
      </c>
    </row>
    <row r="153">
      <c r="C153">
        <f>IF($A153="","",COUNTIF($A$2:$A153,$A153))</f>
        <v/>
      </c>
      <c r="D153">
        <f>IF($A153="","",$A153&amp;"|"&amp;$C153)</f>
        <v/>
      </c>
    </row>
    <row r="154">
      <c r="C154">
        <f>IF($A154="","",COUNTIF($A$2:$A154,$A154))</f>
        <v/>
      </c>
      <c r="D154">
        <f>IF($A154="","",$A154&amp;"|"&amp;$C154)</f>
        <v/>
      </c>
    </row>
    <row r="155">
      <c r="C155">
        <f>IF($A155="","",COUNTIF($A$2:$A155,$A155))</f>
        <v/>
      </c>
      <c r="D155">
        <f>IF($A155="","",$A155&amp;"|"&amp;$C155)</f>
        <v/>
      </c>
    </row>
    <row r="156">
      <c r="C156">
        <f>IF($A156="","",COUNTIF($A$2:$A156,$A156))</f>
        <v/>
      </c>
      <c r="D156">
        <f>IF($A156="","",$A156&amp;"|"&amp;$C156)</f>
        <v/>
      </c>
    </row>
    <row r="157">
      <c r="C157">
        <f>IF($A157="","",COUNTIF($A$2:$A157,$A157))</f>
        <v/>
      </c>
      <c r="D157">
        <f>IF($A157="","",$A157&amp;"|"&amp;$C157)</f>
        <v/>
      </c>
    </row>
    <row r="158">
      <c r="C158">
        <f>IF($A158="","",COUNTIF($A$2:$A158,$A158))</f>
        <v/>
      </c>
      <c r="D158">
        <f>IF($A158="","",$A158&amp;"|"&amp;$C158)</f>
        <v/>
      </c>
    </row>
    <row r="159">
      <c r="C159">
        <f>IF($A159="","",COUNTIF($A$2:$A159,$A159))</f>
        <v/>
      </c>
      <c r="D159">
        <f>IF($A159="","",$A159&amp;"|"&amp;$C159)</f>
        <v/>
      </c>
    </row>
    <row r="160">
      <c r="C160">
        <f>IF($A160="","",COUNTIF($A$2:$A160,$A160))</f>
        <v/>
      </c>
      <c r="D160">
        <f>IF($A160="","",$A160&amp;"|"&amp;$C160)</f>
        <v/>
      </c>
    </row>
    <row r="161">
      <c r="C161">
        <f>IF($A161="","",COUNTIF($A$2:$A161,$A161))</f>
        <v/>
      </c>
      <c r="D161">
        <f>IF($A161="","",$A161&amp;"|"&amp;$C161)</f>
        <v/>
      </c>
    </row>
    <row r="162">
      <c r="C162">
        <f>IF($A162="","",COUNTIF($A$2:$A162,$A162))</f>
        <v/>
      </c>
      <c r="D162">
        <f>IF($A162="","",$A162&amp;"|"&amp;$C162)</f>
        <v/>
      </c>
    </row>
    <row r="163">
      <c r="C163">
        <f>IF($A163="","",COUNTIF($A$2:$A163,$A163))</f>
        <v/>
      </c>
      <c r="D163">
        <f>IF($A163="","",$A163&amp;"|"&amp;$C163)</f>
        <v/>
      </c>
    </row>
    <row r="164">
      <c r="C164">
        <f>IF($A164="","",COUNTIF($A$2:$A164,$A164))</f>
        <v/>
      </c>
      <c r="D164">
        <f>IF($A164="","",$A164&amp;"|"&amp;$C164)</f>
        <v/>
      </c>
    </row>
    <row r="165">
      <c r="C165">
        <f>IF($A165="","",COUNTIF($A$2:$A165,$A165))</f>
        <v/>
      </c>
      <c r="D165">
        <f>IF($A165="","",$A165&amp;"|"&amp;$C165)</f>
        <v/>
      </c>
    </row>
    <row r="166">
      <c r="C166">
        <f>IF($A166="","",COUNTIF($A$2:$A166,$A166))</f>
        <v/>
      </c>
      <c r="D166">
        <f>IF($A166="","",$A166&amp;"|"&amp;$C166)</f>
        <v/>
      </c>
    </row>
    <row r="167">
      <c r="C167">
        <f>IF($A167="","",COUNTIF($A$2:$A167,$A167))</f>
        <v/>
      </c>
      <c r="D167">
        <f>IF($A167="","",$A167&amp;"|"&amp;$C167)</f>
        <v/>
      </c>
    </row>
    <row r="168">
      <c r="C168">
        <f>IF($A168="","",COUNTIF($A$2:$A168,$A168))</f>
        <v/>
      </c>
      <c r="D168">
        <f>IF($A168="","",$A168&amp;"|"&amp;$C168)</f>
        <v/>
      </c>
    </row>
    <row r="169">
      <c r="C169">
        <f>IF($A169="","",COUNTIF($A$2:$A169,$A169))</f>
        <v/>
      </c>
      <c r="D169">
        <f>IF($A169="","",$A169&amp;"|"&amp;$C169)</f>
        <v/>
      </c>
    </row>
    <row r="170">
      <c r="C170">
        <f>IF($A170="","",COUNTIF($A$2:$A170,$A170))</f>
        <v/>
      </c>
      <c r="D170">
        <f>IF($A170="","",$A170&amp;"|"&amp;$C170)</f>
        <v/>
      </c>
    </row>
    <row r="171">
      <c r="C171">
        <f>IF($A171="","",COUNTIF($A$2:$A171,$A171))</f>
        <v/>
      </c>
      <c r="D171">
        <f>IF($A171="","",$A171&amp;"|"&amp;$C171)</f>
        <v/>
      </c>
    </row>
    <row r="172">
      <c r="C172">
        <f>IF($A172="","",COUNTIF($A$2:$A172,$A172))</f>
        <v/>
      </c>
      <c r="D172">
        <f>IF($A172="","",$A172&amp;"|"&amp;$C172)</f>
        <v/>
      </c>
    </row>
    <row r="173">
      <c r="C173">
        <f>IF($A173="","",COUNTIF($A$2:$A173,$A173))</f>
        <v/>
      </c>
      <c r="D173">
        <f>IF($A173="","",$A173&amp;"|"&amp;$C173)</f>
        <v/>
      </c>
    </row>
    <row r="174">
      <c r="C174">
        <f>IF($A174="","",COUNTIF($A$2:$A174,$A174))</f>
        <v/>
      </c>
      <c r="D174">
        <f>IF($A174="","",$A174&amp;"|"&amp;$C174)</f>
        <v/>
      </c>
    </row>
    <row r="175">
      <c r="C175">
        <f>IF($A175="","",COUNTIF($A$2:$A175,$A175))</f>
        <v/>
      </c>
      <c r="D175">
        <f>IF($A175="","",$A175&amp;"|"&amp;$C175)</f>
        <v/>
      </c>
    </row>
    <row r="176">
      <c r="C176">
        <f>IF($A176="","",COUNTIF($A$2:$A176,$A176))</f>
        <v/>
      </c>
      <c r="D176">
        <f>IF($A176="","",$A176&amp;"|"&amp;$C176)</f>
        <v/>
      </c>
    </row>
    <row r="177">
      <c r="C177">
        <f>IF($A177="","",COUNTIF($A$2:$A177,$A177))</f>
        <v/>
      </c>
      <c r="D177">
        <f>IF($A177="","",$A177&amp;"|"&amp;$C177)</f>
        <v/>
      </c>
    </row>
    <row r="178">
      <c r="C178">
        <f>IF($A178="","",COUNTIF($A$2:$A178,$A178))</f>
        <v/>
      </c>
      <c r="D178">
        <f>IF($A178="","",$A178&amp;"|"&amp;$C178)</f>
        <v/>
      </c>
    </row>
    <row r="179">
      <c r="C179">
        <f>IF($A179="","",COUNTIF($A$2:$A179,$A179))</f>
        <v/>
      </c>
      <c r="D179">
        <f>IF($A179="","",$A179&amp;"|"&amp;$C179)</f>
        <v/>
      </c>
    </row>
    <row r="180">
      <c r="C180">
        <f>IF($A180="","",COUNTIF($A$2:$A180,$A180))</f>
        <v/>
      </c>
      <c r="D180">
        <f>IF($A180="","",$A180&amp;"|"&amp;$C180)</f>
        <v/>
      </c>
    </row>
    <row r="181">
      <c r="C181">
        <f>IF($A181="","",COUNTIF($A$2:$A181,$A181))</f>
        <v/>
      </c>
      <c r="D181">
        <f>IF($A181="","",$A181&amp;"|"&amp;$C181)</f>
        <v/>
      </c>
    </row>
    <row r="182">
      <c r="C182">
        <f>IF($A182="","",COUNTIF($A$2:$A182,$A182))</f>
        <v/>
      </c>
      <c r="D182">
        <f>IF($A182="","",$A182&amp;"|"&amp;$C182)</f>
        <v/>
      </c>
    </row>
    <row r="183">
      <c r="C183">
        <f>IF($A183="","",COUNTIF($A$2:$A183,$A183))</f>
        <v/>
      </c>
      <c r="D183">
        <f>IF($A183="","",$A183&amp;"|"&amp;$C183)</f>
        <v/>
      </c>
    </row>
    <row r="184">
      <c r="C184">
        <f>IF($A184="","",COUNTIF($A$2:$A184,$A184))</f>
        <v/>
      </c>
      <c r="D184">
        <f>IF($A184="","",$A184&amp;"|"&amp;$C184)</f>
        <v/>
      </c>
    </row>
    <row r="185">
      <c r="C185">
        <f>IF($A185="","",COUNTIF($A$2:$A185,$A185))</f>
        <v/>
      </c>
      <c r="D185">
        <f>IF($A185="","",$A185&amp;"|"&amp;$C185)</f>
        <v/>
      </c>
    </row>
    <row r="186">
      <c r="C186">
        <f>IF($A186="","",COUNTIF($A$2:$A186,$A186))</f>
        <v/>
      </c>
      <c r="D186">
        <f>IF($A186="","",$A186&amp;"|"&amp;$C186)</f>
        <v/>
      </c>
    </row>
    <row r="187">
      <c r="C187">
        <f>IF($A187="","",COUNTIF($A$2:$A187,$A187))</f>
        <v/>
      </c>
      <c r="D187">
        <f>IF($A187="","",$A187&amp;"|"&amp;$C187)</f>
        <v/>
      </c>
    </row>
    <row r="188">
      <c r="C188">
        <f>IF($A188="","",COUNTIF($A$2:$A188,$A188))</f>
        <v/>
      </c>
      <c r="D188">
        <f>IF($A188="","",$A188&amp;"|"&amp;$C188)</f>
        <v/>
      </c>
    </row>
    <row r="189">
      <c r="C189">
        <f>IF($A189="","",COUNTIF($A$2:$A189,$A189))</f>
        <v/>
      </c>
      <c r="D189">
        <f>IF($A189="","",$A189&amp;"|"&amp;$C189)</f>
        <v/>
      </c>
    </row>
    <row r="190">
      <c r="C190">
        <f>IF($A190="","",COUNTIF($A$2:$A190,$A190))</f>
        <v/>
      </c>
      <c r="D190">
        <f>IF($A190="","",$A190&amp;"|"&amp;$C190)</f>
        <v/>
      </c>
    </row>
    <row r="191">
      <c r="C191">
        <f>IF($A191="","",COUNTIF($A$2:$A191,$A191))</f>
        <v/>
      </c>
      <c r="D191">
        <f>IF($A191="","",$A191&amp;"|"&amp;$C191)</f>
        <v/>
      </c>
    </row>
    <row r="192">
      <c r="C192">
        <f>IF($A192="","",COUNTIF($A$2:$A192,$A192))</f>
        <v/>
      </c>
      <c r="D192">
        <f>IF($A192="","",$A192&amp;"|"&amp;$C192)</f>
        <v/>
      </c>
    </row>
    <row r="193">
      <c r="C193">
        <f>IF($A193="","",COUNTIF($A$2:$A193,$A193))</f>
        <v/>
      </c>
      <c r="D193">
        <f>IF($A193="","",$A193&amp;"|"&amp;$C193)</f>
        <v/>
      </c>
    </row>
    <row r="194">
      <c r="C194">
        <f>IF($A194="","",COUNTIF($A$2:$A194,$A194))</f>
        <v/>
      </c>
      <c r="D194">
        <f>IF($A194="","",$A194&amp;"|"&amp;$C194)</f>
        <v/>
      </c>
    </row>
    <row r="195">
      <c r="C195">
        <f>IF($A195="","",COUNTIF($A$2:$A195,$A195))</f>
        <v/>
      </c>
      <c r="D195">
        <f>IF($A195="","",$A195&amp;"|"&amp;$C195)</f>
        <v/>
      </c>
    </row>
    <row r="196">
      <c r="C196">
        <f>IF($A196="","",COUNTIF($A$2:$A196,$A196))</f>
        <v/>
      </c>
      <c r="D196">
        <f>IF($A196="","",$A196&amp;"|"&amp;$C196)</f>
        <v/>
      </c>
    </row>
    <row r="197">
      <c r="C197">
        <f>IF($A197="","",COUNTIF($A$2:$A197,$A197))</f>
        <v/>
      </c>
      <c r="D197">
        <f>IF($A197="","",$A197&amp;"|"&amp;$C197)</f>
        <v/>
      </c>
    </row>
    <row r="198">
      <c r="C198">
        <f>IF($A198="","",COUNTIF($A$2:$A198,$A198))</f>
        <v/>
      </c>
      <c r="D198">
        <f>IF($A198="","",$A198&amp;"|"&amp;$C198)</f>
        <v/>
      </c>
    </row>
    <row r="199">
      <c r="C199">
        <f>IF($A199="","",COUNTIF($A$2:$A199,$A199))</f>
        <v/>
      </c>
      <c r="D199">
        <f>IF($A199="","",$A199&amp;"|"&amp;$C199)</f>
        <v/>
      </c>
    </row>
    <row r="200">
      <c r="C200">
        <f>IF($A200="","",COUNTIF($A$2:$A200,$A200))</f>
        <v/>
      </c>
      <c r="D200">
        <f>IF($A200="","",$A200&amp;"|"&amp;$C200)</f>
        <v/>
      </c>
    </row>
    <row r="201">
      <c r="C201">
        <f>IF($A201="","",COUNTIF($A$2:$A201,$A201))</f>
        <v/>
      </c>
      <c r="D201">
        <f>IF($A201="","",$A201&amp;"|"&amp;$C201)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0" customHeight="1">
      <c r="A1" s="31" t="inlineStr">
        <is>
          <t>Unit</t>
        </is>
      </c>
      <c r="B1" s="31" t="inlineStr">
        <is>
          <t>Family</t>
        </is>
      </c>
      <c r="C1" s="31" t="inlineStr">
        <is>
          <t>Factor</t>
        </is>
      </c>
    </row>
    <row r="2">
      <c r="A2" t="inlineStr">
        <is>
          <t>tsp</t>
        </is>
      </c>
      <c r="B2" t="inlineStr">
        <is>
          <t>volume</t>
        </is>
      </c>
      <c r="C2" t="n">
        <v>0.1666666666666667</v>
      </c>
    </row>
    <row r="3">
      <c r="A3" t="inlineStr">
        <is>
          <t>teaspoon</t>
        </is>
      </c>
      <c r="B3" t="inlineStr">
        <is>
          <t>volume</t>
        </is>
      </c>
      <c r="C3" t="n">
        <v>0.1666666666666667</v>
      </c>
    </row>
    <row r="4">
      <c r="A4" t="inlineStr">
        <is>
          <t>tbsp</t>
        </is>
      </c>
      <c r="B4" t="inlineStr">
        <is>
          <t>volume</t>
        </is>
      </c>
      <c r="C4" t="n">
        <v>0.5</v>
      </c>
    </row>
    <row r="5">
      <c r="A5" t="inlineStr">
        <is>
          <t>tbs</t>
        </is>
      </c>
      <c r="B5" t="inlineStr">
        <is>
          <t>volume</t>
        </is>
      </c>
      <c r="C5" t="n">
        <v>0.5</v>
      </c>
    </row>
    <row r="6">
      <c r="A6" t="inlineStr">
        <is>
          <t>tbl</t>
        </is>
      </c>
      <c r="B6" t="inlineStr">
        <is>
          <t>volume</t>
        </is>
      </c>
      <c r="C6" t="n">
        <v>0.5</v>
      </c>
    </row>
    <row r="7">
      <c r="A7" t="inlineStr">
        <is>
          <t>tablespoon</t>
        </is>
      </c>
      <c r="B7" t="inlineStr">
        <is>
          <t>volume</t>
        </is>
      </c>
      <c r="C7" t="n">
        <v>0.5</v>
      </c>
    </row>
    <row r="8">
      <c r="A8" t="inlineStr">
        <is>
          <t>fl oz</t>
        </is>
      </c>
      <c r="B8" t="inlineStr">
        <is>
          <t>volume</t>
        </is>
      </c>
      <c r="C8" t="n">
        <v>1</v>
      </c>
    </row>
    <row r="9">
      <c r="A9" t="inlineStr">
        <is>
          <t>floz</t>
        </is>
      </c>
      <c r="B9" t="inlineStr">
        <is>
          <t>volume</t>
        </is>
      </c>
      <c r="C9" t="n">
        <v>1</v>
      </c>
    </row>
    <row r="10">
      <c r="A10" t="inlineStr">
        <is>
          <t>fluid oz</t>
        </is>
      </c>
      <c r="B10" t="inlineStr">
        <is>
          <t>volume</t>
        </is>
      </c>
      <c r="C10" t="n">
        <v>1</v>
      </c>
    </row>
    <row r="11">
      <c r="A11" t="inlineStr">
        <is>
          <t>cup</t>
        </is>
      </c>
      <c r="B11" t="inlineStr">
        <is>
          <t>volume</t>
        </is>
      </c>
      <c r="C11" t="n">
        <v>8</v>
      </c>
    </row>
    <row r="12">
      <c r="A12" t="inlineStr">
        <is>
          <t>c</t>
        </is>
      </c>
      <c r="B12" t="inlineStr">
        <is>
          <t>volume</t>
        </is>
      </c>
      <c r="C12" t="n">
        <v>8</v>
      </c>
    </row>
    <row r="13">
      <c r="A13" t="inlineStr">
        <is>
          <t>pint</t>
        </is>
      </c>
      <c r="B13" t="inlineStr">
        <is>
          <t>volume</t>
        </is>
      </c>
      <c r="C13" t="n">
        <v>16</v>
      </c>
    </row>
    <row r="14">
      <c r="A14" t="inlineStr">
        <is>
          <t>pt</t>
        </is>
      </c>
      <c r="B14" t="inlineStr">
        <is>
          <t>volume</t>
        </is>
      </c>
      <c r="C14" t="n">
        <v>16</v>
      </c>
    </row>
    <row r="15">
      <c r="A15" t="inlineStr">
        <is>
          <t>quart</t>
        </is>
      </c>
      <c r="B15" t="inlineStr">
        <is>
          <t>volume</t>
        </is>
      </c>
      <c r="C15" t="n">
        <v>32</v>
      </c>
    </row>
    <row r="16">
      <c r="A16" t="inlineStr">
        <is>
          <t>qt</t>
        </is>
      </c>
      <c r="B16" t="inlineStr">
        <is>
          <t>volume</t>
        </is>
      </c>
      <c r="C16" t="n">
        <v>32</v>
      </c>
    </row>
    <row r="17">
      <c r="A17" t="inlineStr">
        <is>
          <t>gallon</t>
        </is>
      </c>
      <c r="B17" t="inlineStr">
        <is>
          <t>volume</t>
        </is>
      </c>
      <c r="C17" t="n">
        <v>128</v>
      </c>
    </row>
    <row r="18">
      <c r="A18" t="inlineStr">
        <is>
          <t>gal</t>
        </is>
      </c>
      <c r="B18" t="inlineStr">
        <is>
          <t>volume</t>
        </is>
      </c>
      <c r="C18" t="n">
        <v>128</v>
      </c>
    </row>
    <row r="19">
      <c r="A19" t="inlineStr">
        <is>
          <t>ml</t>
        </is>
      </c>
      <c r="B19" t="inlineStr">
        <is>
          <t>volume</t>
        </is>
      </c>
      <c r="C19" t="n">
        <v>0.033814</v>
      </c>
    </row>
    <row r="20">
      <c r="A20" t="inlineStr">
        <is>
          <t>liter</t>
        </is>
      </c>
      <c r="B20" t="inlineStr">
        <is>
          <t>volume</t>
        </is>
      </c>
      <c r="C20" t="n">
        <v>33.814</v>
      </c>
    </row>
    <row r="21">
      <c r="A21" t="inlineStr">
        <is>
          <t>l</t>
        </is>
      </c>
      <c r="B21" t="inlineStr">
        <is>
          <t>volume</t>
        </is>
      </c>
      <c r="C21" t="n">
        <v>33.814</v>
      </c>
    </row>
    <row r="22">
      <c r="A22" t="inlineStr">
        <is>
          <t>oz</t>
        </is>
      </c>
      <c r="B22" t="inlineStr">
        <is>
          <t>weight</t>
        </is>
      </c>
      <c r="C22" t="n">
        <v>1</v>
      </c>
    </row>
    <row r="23">
      <c r="A23" t="inlineStr">
        <is>
          <t>ounce</t>
        </is>
      </c>
      <c r="B23" t="inlineStr">
        <is>
          <t>weight</t>
        </is>
      </c>
      <c r="C23" t="n">
        <v>1</v>
      </c>
    </row>
    <row r="24">
      <c r="A24" t="inlineStr">
        <is>
          <t>lb</t>
        </is>
      </c>
      <c r="B24" t="inlineStr">
        <is>
          <t>weight</t>
        </is>
      </c>
      <c r="C24" t="n">
        <v>16</v>
      </c>
    </row>
    <row r="25">
      <c r="A25" t="inlineStr">
        <is>
          <t>lbs</t>
        </is>
      </c>
      <c r="B25" t="inlineStr">
        <is>
          <t>weight</t>
        </is>
      </c>
      <c r="C25" t="n">
        <v>16</v>
      </c>
    </row>
    <row r="26">
      <c r="A26" t="inlineStr">
        <is>
          <t>pound</t>
        </is>
      </c>
      <c r="B26" t="inlineStr">
        <is>
          <t>weight</t>
        </is>
      </c>
      <c r="C26" t="n">
        <v>16</v>
      </c>
    </row>
    <row r="27">
      <c r="A27" t="inlineStr">
        <is>
          <t>gram</t>
        </is>
      </c>
      <c r="B27" t="inlineStr">
        <is>
          <t>weight</t>
        </is>
      </c>
      <c r="C27" t="n">
        <v>0.035274</v>
      </c>
    </row>
    <row r="28">
      <c r="A28" t="inlineStr">
        <is>
          <t>g</t>
        </is>
      </c>
      <c r="B28" t="inlineStr">
        <is>
          <t>weight</t>
        </is>
      </c>
      <c r="C28" t="n">
        <v>0.035274</v>
      </c>
    </row>
    <row r="29">
      <c r="A29" t="inlineStr">
        <is>
          <t>kg</t>
        </is>
      </c>
      <c r="B29" t="inlineStr">
        <is>
          <t>weight</t>
        </is>
      </c>
      <c r="C29" t="n">
        <v>35.274</v>
      </c>
    </row>
    <row r="30">
      <c r="A30" t="inlineStr">
        <is>
          <t>kilogram</t>
        </is>
      </c>
      <c r="B30" t="inlineStr">
        <is>
          <t>weight</t>
        </is>
      </c>
      <c r="C30" t="n">
        <v>35.274</v>
      </c>
    </row>
    <row r="31">
      <c r="A31" t="inlineStr">
        <is>
          <t>each</t>
        </is>
      </c>
      <c r="B31" t="inlineStr">
        <is>
          <t>count</t>
        </is>
      </c>
      <c r="C31" t="n">
        <v>1</v>
      </c>
    </row>
    <row r="32">
      <c r="A32" t="inlineStr">
        <is>
          <t>ea</t>
        </is>
      </c>
      <c r="B32" t="inlineStr">
        <is>
          <t>count</t>
        </is>
      </c>
      <c r="C32" t="n">
        <v>1</v>
      </c>
    </row>
    <row r="33">
      <c r="A33" t="inlineStr">
        <is>
          <t>ct</t>
        </is>
      </c>
      <c r="B33" t="inlineStr">
        <is>
          <t>count</t>
        </is>
      </c>
      <c r="C33" t="n">
        <v>1</v>
      </c>
    </row>
    <row r="34">
      <c r="A34" t="inlineStr">
        <is>
          <t>dozen</t>
        </is>
      </c>
      <c r="B34" t="inlineStr">
        <is>
          <t>count</t>
        </is>
      </c>
      <c r="C34" t="n">
        <v>12</v>
      </c>
    </row>
    <row r="35">
      <c r="A35" t="inlineStr">
        <is>
          <t>dz</t>
        </is>
      </c>
      <c r="B35" t="inlineStr">
        <is>
          <t>count</t>
        </is>
      </c>
      <c r="C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2026-06-13T05:08:27Z</dcterms:created>
  <dcterms:modified xsi:type="dcterms:W3CDTF">2026-06-13T05:08:27Z</dcterms:modified>
</cp:coreProperties>
</file>